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21f6230b1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ão Geral" sheetId="1" r:id="R0af0afdd222c4690"/>
    <x:sheet xmlns:r="http://schemas.openxmlformats.org/officeDocument/2006/relationships" name="Plano Semanal" sheetId="2" r:id="R00decd7ecbc84eed"/>
    <x:sheet xmlns:r="http://schemas.openxmlformats.org/officeDocument/2006/relationships" name="Registro Corridas" sheetId="3" r:id="Ra959bfcc55dc485d"/>
    <x:sheet xmlns:r="http://schemas.openxmlformats.org/officeDocument/2006/relationships" name="Guia" sheetId="4" r:id="R103e48eaa64c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.0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3"/>
      <x:color rgb="FF17324D"/>
      <x:name val="Carlito"/>
    </x:font>
    <x:font>
      <x:b/>
      <x:sz val="18"/>
      <x:color rgb="FFFFFFFF"/>
      <x:name val="Carlito"/>
    </x:font>
    <x:font>
      <x:b/>
      <x:sz val="11"/>
      <x:color rgb="FFB4231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6B5F"/>
      </x:patternFill>
    </x:fill>
    <x:fill>
      <x:patternFill patternType="solid">
        <x:fgColor rgb="FFC58B2A"/>
      </x:patternFill>
    </x:fill>
    <x:fill>
      <x:patternFill patternType="solid">
        <x:fgColor rgb="FFEAF2F0"/>
      </x:patternFill>
    </x:fill>
    <x:fill>
      <x:patternFill patternType="solid">
        <x:fgColor rgb="FFF5F8FA"/>
      </x:patternFill>
    </x:fill>
    <x:fill>
      <x:patternFill patternType="solid">
        <x:fgColor rgb="FFE8F1FB"/>
      </x:patternFill>
    </x:fill>
    <x:fill>
      <x:patternFill patternType="solid">
        <x:fgColor rgb="FFEAF7EF"/>
      </x:patternFill>
    </x:fill>
    <x:fill>
      <x:patternFill patternType="solid">
        <x:fgColor rgb="FFDDF2E6"/>
      </x:patternFill>
    </x:fill>
    <x:fill>
      <x:patternFill patternType="solid">
        <x:fgColor rgb="FFFFF4D6"/>
      </x:patternFill>
    </x:fill>
    <x:fill>
      <x:patternFill patternType="solid">
        <x:fgColor rgb="FFFDE7D7"/>
      </x:patternFill>
    </x:fill>
    <x:fill>
      <x:patternFill patternType="solid">
        <x:fgColor rgb="FFF3E8FF"/>
      </x:patternFill>
    </x:fill>
    <x:fill>
      <x:patternFill patternType="solid">
        <x:fgColor rgb="FFFFF1F0"/>
      </x:patternFill>
    </x:fill>
  </x:fills>
  <x:borders count="4">
    <x:border/>
    <x:border/>
    <x:border>
      <x:top style="medium">
        <x:color rgb="FFC58B2A"/>
      </x:top>
      <x:bottom style="medium">
        <x:color rgb="FFC58B2A"/>
      </x:bottom>
    </x:border>
    <x:border>
      <x:top style="medium">
        <x:color rgb="FFC58B2A"/>
      </x:top>
      <x:bottom style="medium">
        <x:color rgb="FFC58B2A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201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201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201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201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201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201" fontId="0" fillId="11" borderId="0" xfId="0" applyNumberFormat="1" applyFont="1" applyFill="1" applyBorder="1"/>
    <x:xf numFmtId="0" fontId="0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201" fontId="0" fillId="11" borderId="1" xfId="0" applyNumberFormat="1" applyFont="1" applyFill="1" applyBorder="1"/>
    <x:xf numFmtId="0" fontId="0" fillId="11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201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2" borderId="1" xfId="0" applyNumberFormat="1" applyFont="1" applyFill="1" applyBorder="1"/>
    <x:xf numFmtId="201" fontId="0" fillId="12" borderId="1" xfId="0" applyNumberFormat="1" applyFont="1" applyFill="1" applyBorder="1"/>
    <x:xf numFmtId="0" fontId="0" fillId="1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7" borderId="2" xfId="0" applyNumberFormat="1" applyFont="1" applyFill="1" applyBorder="1"/>
    <x:xf numFmtId="201" fontId="0" fillId="7" borderId="2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7" borderId="3" xfId="0" applyNumberFormat="1" applyFont="1" applyFill="1" applyBorder="1"/>
    <x:xf numFmtId="201" fontId="0" fillId="7" borderId="3" xfId="0" applyNumberFormat="1" applyFont="1" applyFill="1" applyBorder="1"/>
    <x:xf numFmtId="0" fontId="0" fillId="7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8" borderId="2" xfId="0" applyNumberFormat="1" applyFont="1" applyFill="1" applyBorder="1"/>
    <x:xf numFmtId="201" fontId="0" fillId="8" borderId="2" xfId="0" applyNumberFormat="1" applyFont="1" applyFill="1" applyBorder="1"/>
    <x:xf numFmtId="0" fontId="0" fillId="8" borderId="2" xfId="0" applyNumberFormat="1" applyFont="1" applyFill="1" applyBorder="1" applyAlignment="1">
      <x:alignment wrapText="1"/>
    </x:xf>
    <x:xf numFmtId="0" fontId="0" fillId="8" borderId="3" xfId="0" applyNumberFormat="1" applyFont="1" applyFill="1" applyBorder="1"/>
    <x:xf numFmtId="201" fontId="0" fillId="8" borderId="3" xfId="0" applyNumberFormat="1" applyFont="1" applyFill="1" applyBorder="1"/>
    <x:xf numFmtId="0" fontId="0" fillId="8" borderId="3" xfId="0" applyNumberFormat="1" applyFont="1" applyFill="1" applyBorder="1" applyAlignment="1">
      <x:alignment wrapText="1"/>
    </x:xf>
    <x:xf numFmtId="0" fontId="0" fillId="9" borderId="2" xfId="0" applyNumberFormat="1" applyFont="1" applyFill="1" applyBorder="1"/>
    <x:xf numFmtId="201" fontId="0" fillId="9" borderId="2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/>
    <x:xf numFmtId="201" fontId="0" fillId="9" borderId="3" xfId="0" applyNumberFormat="1" applyFont="1" applyFill="1" applyBorder="1"/>
    <x:xf numFmtId="0" fontId="0" fillId="9" borderId="3" xfId="0" applyNumberFormat="1" applyFont="1" applyFill="1" applyBorder="1" applyAlignment="1">
      <x:alignment wrapText="1"/>
    </x:xf>
    <x:xf numFmtId="0" fontId="0" fillId="10" borderId="2" xfId="0" applyNumberFormat="1" applyFont="1" applyFill="1" applyBorder="1"/>
    <x:xf numFmtId="201" fontId="0" fillId="10" borderId="2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/>
    <x:xf numFmtId="201" fontId="0" fillId="10" borderId="3" xfId="0" applyNumberFormat="1" applyFont="1" applyFill="1" applyBorder="1"/>
    <x:xf numFmtId="0" fontId="0" fillId="10" borderId="3" xfId="0" applyNumberFormat="1" applyFont="1" applyFill="1" applyBorder="1" applyAlignment="1">
      <x:alignment wrapText="1"/>
    </x:xf>
    <x:xf numFmtId="0" fontId="0" fillId="11" borderId="2" xfId="0" applyNumberFormat="1" applyFont="1" applyFill="1" applyBorder="1"/>
    <x:xf numFmtId="201" fontId="0" fillId="11" borderId="2" xfId="0" applyNumberFormat="1" applyFont="1" applyFill="1" applyBorder="1"/>
    <x:xf numFmtId="0" fontId="0" fillId="11" borderId="2" xfId="0" applyNumberFormat="1" applyFont="1" applyFill="1" applyBorder="1" applyAlignment="1">
      <x:alignment wrapText="1"/>
    </x:xf>
    <x:xf numFmtId="0" fontId="0" fillId="11" borderId="3" xfId="0" applyNumberFormat="1" applyFont="1" applyFill="1" applyBorder="1"/>
    <x:xf numFmtId="201" fontId="0" fillId="11" borderId="3" xfId="0" applyNumberFormat="1" applyFont="1" applyFill="1" applyBorder="1"/>
    <x:xf numFmtId="0" fontId="0" fillId="11" borderId="3" xfId="0" applyNumberFormat="1" applyFont="1" applyFill="1" applyBorder="1" applyAlignment="1">
      <x:alignment wrapText="1"/>
    </x:xf>
    <x:xf numFmtId="0" fontId="0" fillId="12" borderId="2" xfId="0" applyNumberFormat="1" applyFont="1" applyFill="1" applyBorder="1"/>
    <x:xf numFmtId="201" fontId="0" fillId="12" borderId="2" xfId="0" applyNumberFormat="1" applyFont="1" applyFill="1" applyBorder="1"/>
    <x:xf numFmtId="0" fontId="0" fillId="12" borderId="2" xfId="0" applyNumberFormat="1" applyFont="1" applyFill="1" applyBorder="1" applyAlignment="1">
      <x:alignment wrapText="1"/>
    </x:xf>
    <x:xf numFmtId="0" fontId="0" fillId="12" borderId="3" xfId="0" applyNumberFormat="1" applyFont="1" applyFill="1" applyBorder="1"/>
    <x:xf numFmtId="201" fontId="0" fillId="12" borderId="3" xfId="0" applyNumberFormat="1" applyFont="1" applyFill="1" applyBorder="1"/>
    <x:xf numFmtId="0" fontId="0" fillId="12" borderId="3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wrapText="1"/>
    </x:xf>
    <x:xf numFmtId="0" fontId="6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1D7A46"/>
      </x:font>
      <x:fill>
        <x:patternFill patternType="solid">
          <x:bgColor rgb="FFDCFCE7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e32b168f046cc" /><Relationship Type="http://schemas.openxmlformats.org/officeDocument/2006/relationships/theme" Target="/xl/theme/theme1.xml" Id="R8d69b564a9e542ab" /><Relationship Type="http://schemas.openxmlformats.org/officeDocument/2006/relationships/sharedStrings" Target="/xl/sharedStrings.xml" Id="Rbf3bb5a6b6034ae3" /><Relationship Type="http://schemas.openxmlformats.org/officeDocument/2006/relationships/worksheet" Target="/xl/worksheets/sheet1.xml" Id="R0af0afdd222c4690" /><Relationship Type="http://schemas.openxmlformats.org/officeDocument/2006/relationships/worksheet" Target="/xl/worksheets/sheet2.xml" Id="R00decd7ecbc84eed" /><Relationship Type="http://schemas.openxmlformats.org/officeDocument/2006/relationships/worksheet" Target="/xl/worksheets/sheet3.xml" Id="Ra959bfcc55dc485d" /><Relationship Type="http://schemas.openxmlformats.org/officeDocument/2006/relationships/worksheet" Target="/xl/worksheets/sheet4.xml" Id="R103e48eaa64c4ae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816f22356844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Progressão planejada — volume semanal e longão</a:t>
            </a:r>
          </a:p>
        </c:rich>
      </c:tx>
    </c:title>
    <c:plotArea>
      <c:lineChart>
        <c:grouping val="standard"/>
        <c:ser>
          <c:idx val="0"/>
          <c:order val="0"/>
          <c:tx>
            <c:v>Volume km</c:v>
          </c:tx>
          <c:marker>
            <c:symbol val="none"/>
          </c:marker>
          <c:cat>
            <c:strRef>
              <c:f>'Visão Geral'!$J$3:$J$40</c:f>
              <c:strCache>
                <c:ptCount val="0"/>
              </c:strCache>
            </c:strRef>
          </c:cat>
          <c:val>
            <c:numRef>
              <c:f>'Visão Geral'!$K$3:$K$40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Longão km</c:v>
          </c:tx>
          <c:marker>
            <c:symbol val="none"/>
          </c:marker>
          <c:cat>
            <c:strRef>
              <c:f>'Visão Geral'!$J$3:$J$40</c:f>
              <c:strCache>
                <c:ptCount val="0"/>
              </c:strCache>
            </c:strRef>
          </c:cat>
          <c:val>
            <c:numRef>
              <c:f>'Visão Geral'!$L$3:$L$40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816f22356844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33b4f7238c4da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>
      <x:c r="A1" s="5" t="str">
        <x:v>PROJETO 42K — MARATONA BH 2027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  <x:c r="J2" t="str">
        <x:v>Semana</x:v>
      </x:c>
      <x:c r="K2" t="str">
        <x:v>Volume km</x:v>
      </x:c>
      <x:c r="L2" t="str">
        <x:v>Longão km</x:v>
      </x:c>
    </x:row>
    <x:row r="3">
      <x:c r="J3" t="n">
        <x:v>1</x:v>
      </x:c>
      <x:c r="K3" t="n">
        <x:v>5</x:v>
      </x:c>
      <x:c r="L3" t="n">
        <x:v>2.5</x:v>
      </x:c>
    </x:row>
    <x:row r="4">
      <x:c r="A4" s="11" t="str">
        <x:v>Campo</x:v>
      </x:c>
      <x:c r="B4" s="11" t="str">
        <x:v>Valor</x:v>
      </x:c>
      <x:c r="D4" s="20" t="str">
        <x:v>CHECKPOINTS</x:v>
      </x:c>
      <x:c r="E4" s="20" t="str"/>
      <x:c r="F4" s="20" t="str"/>
      <x:c r="G4" s="20" t="str"/>
      <x:c r="H4" s="20" t="str"/>
      <x:c r="J4" t="n">
        <x:v>2</x:v>
      </x:c>
      <x:c r="K4" t="n">
        <x:v>6</x:v>
      </x:c>
      <x:c r="L4" t="n">
        <x:v>3</x:v>
      </x:c>
    </x:row>
    <x:row r="5">
      <x:c r="A5" s="16" t="str">
        <x:v>Data-alvo</x:v>
      </x:c>
      <x:c r="B5" s="14" t="n">
        <x:v>46523</x:v>
      </x:c>
      <x:c r="D5" s="24" t="str">
        <x:v>Semana 12</x:v>
      </x:c>
      <x:c r="E5" s="25" t="str">
        <x:v>5 km fácil, sem dor relevante</x:v>
      </x:c>
      <x:c r="F5" s="25" t="str"/>
      <x:c r="G5" s="25" t="str"/>
      <x:c r="H5" s="25" t="str"/>
      <x:c r="J5" t="n">
        <x:v>3</x:v>
      </x:c>
      <x:c r="K5" t="n">
        <x:v>7</x:v>
      </x:c>
      <x:c r="L5" t="n">
        <x:v>3.5</x:v>
      </x:c>
    </x:row>
    <x:row r="6">
      <x:c r="A6" s="16" t="str">
        <x:v>Início do plano</x:v>
      </x:c>
      <x:c r="B6" s="14" t="n">
        <x:v>46258</x:v>
      </x:c>
      <x:c r="D6" s="24" t="str">
        <x:v>Semana 20</x:v>
      </x:c>
      <x:c r="E6" s="25" t="str">
        <x:v>10 km fácil e controlado</x:v>
      </x:c>
      <x:c r="F6" s="25" t="str"/>
      <x:c r="G6" s="25" t="str"/>
      <x:c r="H6" s="25" t="str"/>
      <x:c r="J6" t="n">
        <x:v>4</x:v>
      </x:c>
      <x:c r="K6" t="n">
        <x:v>5</x:v>
      </x:c>
      <x:c r="L6" t="n">
        <x:v>2.5</x:v>
      </x:c>
    </x:row>
    <x:row r="7">
      <x:c r="A7" s="16" t="str">
        <x:v>Semanas</x:v>
      </x:c>
      <x:c r="B7" t="n">
        <x:v>38</x:v>
      </x:c>
      <x:c r="D7" s="24" t="str">
        <x:v>Semana 27</x:v>
      </x:c>
      <x:c r="E7" s="25" t="str">
        <x:v>21,1 km fácil / simulado</x:v>
      </x:c>
      <x:c r="F7" s="25" t="str"/>
      <x:c r="G7" s="25" t="str"/>
      <x:c r="H7" s="25" t="str"/>
      <x:c r="J7" t="n">
        <x:v>5</x:v>
      </x:c>
      <x:c r="K7" t="n">
        <x:v>8</x:v>
      </x:c>
      <x:c r="L7" t="n">
        <x:v>4</x:v>
      </x:c>
    </x:row>
    <x:row r="8">
      <x:c r="A8" s="16" t="str">
        <x:v>Objetivo</x:v>
      </x:c>
      <x:c r="B8" t="str">
        <x:v>Completar 42,195 km saudável e controlado</x:v>
      </x:c>
      <x:c r="D8" s="24" t="str">
        <x:v>Semana 35</x:v>
      </x:c>
      <x:c r="E8" s="25" t="str">
        <x:v>30 km — ensaio geral</x:v>
      </x:c>
      <x:c r="F8" s="25" t="str"/>
      <x:c r="G8" s="25" t="str"/>
      <x:c r="H8" s="25" t="str"/>
      <x:c r="J8" t="n">
        <x:v>6</x:v>
      </x:c>
      <x:c r="K8" t="n">
        <x:v>10</x:v>
      </x:c>
      <x:c r="L8" t="n">
        <x:v>5</x:v>
      </x:c>
    </x:row>
    <x:row r="9">
      <x:c r="A9" s="16" t="str">
        <x:v>Volume planejado total (km)</x:v>
      </x:c>
      <x:c r="B9" t="n">
        <x:f>SUM('Plano Semanal'!E2:E39)</x:f>
        <x:v>943.2</x:v>
      </x:c>
      <x:c r="D9" s="24" t="str">
        <x:v>Semana 38</x:v>
      </x:c>
      <x:c r="E9" s="25" t="str">
        <x:v>MARATONA 42,195 km</x:v>
      </x:c>
      <x:c r="F9" s="25" t="str"/>
      <x:c r="G9" s="25" t="str"/>
      <x:c r="H9" s="25" t="str"/>
      <x:c r="J9" t="n">
        <x:v>7</x:v>
      </x:c>
      <x:c r="K9" t="n">
        <x:v>12</x:v>
      </x:c>
      <x:c r="L9" t="n">
        <x:v>6</x:v>
      </x:c>
    </x:row>
    <x:row r="10">
      <x:c r="A10" s="16" t="str">
        <x:v>Pico semanal pré-prova (km)</x:v>
      </x:c>
      <x:c r="B10" t="n">
        <x:f>MAX('Plano Semanal'!E2:E36)</x:f>
        <x:v>52</x:v>
      </x:c>
      <x:c r="D10" s="24" t="str">
        <x:v>Regra</x:v>
      </x:c>
      <x:c r="E10" s="25" t="str">
        <x:v>Se um checkpoint não estiver sólido, repita base em vez de acelerar.</x:v>
      </x:c>
      <x:c r="F10" s="25" t="str"/>
      <x:c r="G10" s="25" t="str"/>
      <x:c r="H10" s="25" t="str"/>
      <x:c r="J10" t="n">
        <x:v>8</x:v>
      </x:c>
      <x:c r="K10" t="n">
        <x:v>9</x:v>
      </x:c>
      <x:c r="L10" t="n">
        <x:v>4</x:v>
      </x:c>
    </x:row>
    <x:row r="11">
      <x:c r="A11" s="16" t="str">
        <x:v>Maior longão pré-prova (km)</x:v>
      </x:c>
      <x:c r="B11" t="n">
        <x:f>MAX('Plano Semanal'!F2:F36)</x:f>
        <x:v>30</x:v>
      </x:c>
      <x:c r="D11" s="24" t="str">
        <x:v>Prioridade</x:v>
      </x:c>
      <x:c r="E11" s="25" t="str">
        <x:v>Consistência &gt; velocidade &gt; ego.</x:v>
      </x:c>
      <x:c r="F11" s="25" t="str"/>
      <x:c r="G11" s="25" t="str"/>
      <x:c r="H11" s="25" t="str"/>
      <x:c r="J11" t="n">
        <x:v>9</x:v>
      </x:c>
      <x:c r="K11" t="n">
        <x:v>13</x:v>
      </x:c>
      <x:c r="L11" t="n">
        <x:v>7</x:v>
      </x:c>
    </x:row>
    <x:row r="12">
      <x:c r="J12" t="n">
        <x:v>10</x:v>
      </x:c>
      <x:c r="K12" t="n">
        <x:v>15</x:v>
      </x:c>
      <x:c r="L12" t="n">
        <x:v>8</x:v>
      </x:c>
    </x:row>
    <x:row r="13">
      <x:c r="A13" s="29" t="str">
        <x:v>Como interpretar o plano</x:v>
      </x:c>
      <x:c r="B13" s="29"/>
      <x:c r="C13" s="29"/>
      <x:c r="D13" s="29"/>
      <x:c r="E13" s="29"/>
      <x:c r="F13" s="29"/>
      <x:c r="G13" s="29"/>
      <x:c r="H13" s="29"/>
      <x:c r="J13" t="n">
        <x:v>11</x:v>
      </x:c>
      <x:c r="K13" t="n">
        <x:v>17</x:v>
      </x:c>
      <x:c r="L13" t="n">
        <x:v>9</x:v>
      </x:c>
    </x:row>
    <x:row r="14">
      <x:c r="A14" s="34" t="str">
        <x:v>RPE 2–3 = fácil, conversa em frases completas. RPE 4–5 = moderado e controlado. Nos primeiros meses, caminhar faz parte do treino. Não recupere km perdidos. Semanas leves são obrigatórias. Dor que altera a passada, piora progressivamente ou persiste = reduza/pare e avalie.</x:v>
      </x:c>
      <x:c r="B14" s="34"/>
      <x:c r="C14" s="34"/>
      <x:c r="D14" s="34"/>
      <x:c r="E14" s="34"/>
      <x:c r="F14" s="34"/>
      <x:c r="G14" s="34"/>
      <x:c r="H14" s="34"/>
      <x:c r="J14" t="n">
        <x:v>12</x:v>
      </x:c>
      <x:c r="K14" t="n">
        <x:v>12</x:v>
      </x:c>
      <x:c r="L14" t="n">
        <x:v>6</x:v>
      </x:c>
    </x:row>
    <x:row r="15">
      <x:c r="A15" s="34"/>
      <x:c r="B15" s="34"/>
      <x:c r="C15" s="34"/>
      <x:c r="D15" s="34"/>
      <x:c r="E15" s="34"/>
      <x:c r="F15" s="34"/>
      <x:c r="G15" s="34"/>
      <x:c r="H15" s="34"/>
      <x:c r="J15" t="n">
        <x:v>13</x:v>
      </x:c>
      <x:c r="K15" t="n">
        <x:v>18</x:v>
      </x:c>
      <x:c r="L15" t="n">
        <x:v>10</x:v>
      </x:c>
    </x:row>
    <x:row r="16">
      <x:c r="A16" s="34"/>
      <x:c r="B16" s="34"/>
      <x:c r="C16" s="34"/>
      <x:c r="D16" s="34"/>
      <x:c r="E16" s="34"/>
      <x:c r="F16" s="34"/>
      <x:c r="G16" s="34"/>
      <x:c r="H16" s="34"/>
      <x:c r="J16" t="n">
        <x:v>14</x:v>
      </x:c>
      <x:c r="K16" t="n">
        <x:v>20</x:v>
      </x:c>
      <x:c r="L16" t="n">
        <x:v>11</x:v>
      </x:c>
    </x:row>
    <x:row r="17">
      <x:c r="A17" s="34"/>
      <x:c r="B17" s="34"/>
      <x:c r="C17" s="34"/>
      <x:c r="D17" s="34"/>
      <x:c r="E17" s="34"/>
      <x:c r="F17" s="34"/>
      <x:c r="G17" s="34"/>
      <x:c r="H17" s="34"/>
      <x:c r="J17" t="n">
        <x:v>15</x:v>
      </x:c>
      <x:c r="K17" t="n">
        <x:v>22</x:v>
      </x:c>
      <x:c r="L17" t="n">
        <x:v>12</x:v>
      </x:c>
    </x:row>
    <x:row r="18">
      <x:c r="A18" s="34"/>
      <x:c r="B18" s="34"/>
      <x:c r="C18" s="34"/>
      <x:c r="D18" s="34"/>
      <x:c r="E18" s="34"/>
      <x:c r="F18" s="34"/>
      <x:c r="G18" s="34"/>
      <x:c r="H18" s="34"/>
      <x:c r="J18" t="n">
        <x:v>16</x:v>
      </x:c>
      <x:c r="K18" t="n">
        <x:v>16</x:v>
      </x:c>
      <x:c r="L18" t="n">
        <x:v>8</x:v>
      </x:c>
    </x:row>
    <x:row r="19">
      <x:c r="J19" t="n">
        <x:v>17</x:v>
      </x:c>
      <x:c r="K19" t="n">
        <x:v>23</x:v>
      </x:c>
      <x:c r="L19" t="n">
        <x:v>13</x:v>
      </x:c>
    </x:row>
    <x:row r="20">
      <x:c r="J20" t="n">
        <x:v>18</x:v>
      </x:c>
      <x:c r="K20" t="n">
        <x:v>25</x:v>
      </x:c>
      <x:c r="L20" t="n">
        <x:v>14</x:v>
      </x:c>
    </x:row>
    <x:row r="21">
      <x:c r="J21" t="n">
        <x:v>19</x:v>
      </x:c>
      <x:c r="K21" t="n">
        <x:v>27</x:v>
      </x:c>
      <x:c r="L21" t="n">
        <x:v>15</x:v>
      </x:c>
    </x:row>
    <x:row r="22">
      <x:c r="J22" t="n">
        <x:v>20</x:v>
      </x:c>
      <x:c r="K22" t="n">
        <x:v>20</x:v>
      </x:c>
      <x:c r="L22" t="n">
        <x:v>10</x:v>
      </x:c>
    </x:row>
    <x:row r="23">
      <x:c r="J23" t="n">
        <x:v>21</x:v>
      </x:c>
      <x:c r="K23" t="n">
        <x:v>28</x:v>
      </x:c>
      <x:c r="L23" t="n">
        <x:v>16</x:v>
      </x:c>
    </x:row>
    <x:row r="24">
      <x:c r="J24" t="n">
        <x:v>22</x:v>
      </x:c>
      <x:c r="K24" t="n">
        <x:v>30</x:v>
      </x:c>
      <x:c r="L24" t="n">
        <x:v>17</x:v>
      </x:c>
    </x:row>
    <x:row r="25">
      <x:c r="J25" t="n">
        <x:v>23</x:v>
      </x:c>
      <x:c r="K25" t="n">
        <x:v>32</x:v>
      </x:c>
      <x:c r="L25" t="n">
        <x:v>18</x:v>
      </x:c>
    </x:row>
    <x:row r="26">
      <x:c r="J26" t="n">
        <x:v>24</x:v>
      </x:c>
      <x:c r="K26" t="n">
        <x:v>24</x:v>
      </x:c>
      <x:c r="L26" t="n">
        <x:v>12</x:v>
      </x:c>
    </x:row>
    <x:row r="27">
      <x:c r="J27" t="n">
        <x:v>25</x:v>
      </x:c>
      <x:c r="K27" t="n">
        <x:v>33</x:v>
      </x:c>
      <x:c r="L27" t="n">
        <x:v>19</x:v>
      </x:c>
    </x:row>
    <x:row r="28">
      <x:c r="J28" t="n">
        <x:v>26</x:v>
      </x:c>
      <x:c r="K28" t="n">
        <x:v>35</x:v>
      </x:c>
      <x:c r="L28" t="n">
        <x:v>20</x:v>
      </x:c>
    </x:row>
    <x:row r="29">
      <x:c r="J29" t="n">
        <x:v>27</x:v>
      </x:c>
      <x:c r="K29" t="n">
        <x:v>37</x:v>
      </x:c>
      <x:c r="L29" t="n">
        <x:v>21.1</x:v>
      </x:c>
    </x:row>
    <x:row r="30">
      <x:c r="J30" t="n">
        <x:v>28</x:v>
      </x:c>
      <x:c r="K30" t="n">
        <x:v>28</x:v>
      </x:c>
      <x:c r="L30" t="n">
        <x:v>14</x:v>
      </x:c>
    </x:row>
    <x:row r="31">
      <x:c r="J31" t="n">
        <x:v>29</x:v>
      </x:c>
      <x:c r="K31" t="n">
        <x:v>38</x:v>
      </x:c>
      <x:c r="L31" t="n">
        <x:v>22</x:v>
      </x:c>
    </x:row>
    <x:row r="32">
      <x:c r="J32" t="n">
        <x:v>30</x:v>
      </x:c>
      <x:c r="K32" t="n">
        <x:v>40</x:v>
      </x:c>
      <x:c r="L32" t="n">
        <x:v>24</x:v>
      </x:c>
    </x:row>
    <x:row r="33">
      <x:c r="J33" t="n">
        <x:v>31</x:v>
      </x:c>
      <x:c r="K33" t="n">
        <x:v>42</x:v>
      </x:c>
      <x:c r="L33" t="n">
        <x:v>26</x:v>
      </x:c>
    </x:row>
    <x:row r="34">
      <x:c r="J34" t="n">
        <x:v>32</x:v>
      </x:c>
      <x:c r="K34" t="n">
        <x:v>32</x:v>
      </x:c>
      <x:c r="L34" t="n">
        <x:v>18</x:v>
      </x:c>
    </x:row>
    <x:row r="35">
      <x:c r="J35" t="n">
        <x:v>33</x:v>
      </x:c>
      <x:c r="K35" t="n">
        <x:v>44</x:v>
      </x:c>
      <x:c r="L35" t="n">
        <x:v>27</x:v>
      </x:c>
    </x:row>
    <x:row r="36">
      <x:c r="J36" t="n">
        <x:v>34</x:v>
      </x:c>
      <x:c r="K36" t="n">
        <x:v>48</x:v>
      </x:c>
      <x:c r="L36" t="n">
        <x:v>28</x:v>
      </x:c>
    </x:row>
    <x:row r="37">
      <x:c r="J37" t="n">
        <x:v>35</x:v>
      </x:c>
      <x:c r="K37" t="n">
        <x:v>52</x:v>
      </x:c>
      <x:c r="L37" t="n">
        <x:v>30</x:v>
      </x:c>
    </x:row>
    <x:row r="38">
      <x:c r="J38" t="n">
        <x:v>36</x:v>
      </x:c>
      <x:c r="K38" t="n">
        <x:v>36</x:v>
      </x:c>
      <x:c r="L38" t="n">
        <x:v>20</x:v>
      </x:c>
    </x:row>
    <x:row r="39">
      <x:c r="J39" t="n">
        <x:v>37</x:v>
      </x:c>
      <x:c r="K39" t="n">
        <x:v>24</x:v>
      </x:c>
      <x:c r="L39" t="n">
        <x:v>12</x:v>
      </x:c>
    </x:row>
    <x:row r="40">
      <x:c r="J40" t="n">
        <x:v>38</x:v>
      </x:c>
      <x:c r="K40" t="n">
        <x:v>50.2</x:v>
      </x:c>
      <x:c r="L40" t="n">
        <x:v>42.2</x:v>
      </x:c>
    </x:row>
  </x:sheetData>
  <x:mergeCells>
    <x:mergeCell ref="A1:H2"/>
    <x:mergeCell ref="D4:H4"/>
    <x:mergeCell ref="E5:H5"/>
    <x:mergeCell ref="E6:H6"/>
    <x:mergeCell ref="E7:H7"/>
    <x:mergeCell ref="E8:H8"/>
    <x:mergeCell ref="E9:H9"/>
    <x:mergeCell ref="E10:H10"/>
    <x:mergeCell ref="E11:H11"/>
    <x:mergeCell ref="A13:H13"/>
    <x:mergeCell ref="A14:H18"/>
  </x:mergeCells>
  <x:pageMargins left="0.7" right="0.7" top="0.75" bottom="0.75" header="0.3" footer="0.3"/>
  <x:drawing xmlns:r="http://schemas.openxmlformats.org/officeDocument/2006/relationships" r:id="R9933b4f7238c4dae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2" hidden="0" customWidth="1"/>
    <x:col min="8" max="8" width="31" hidden="0" customWidth="1"/>
    <x:col min="9" max="9" width="31" hidden="0" customWidth="1"/>
    <x:col min="10" max="10" width="31" hidden="0" customWidth="1"/>
    <x:col min="11" max="11" width="31" hidden="0" customWidth="1"/>
    <x:col min="12" max="12" width="44" hidden="0" customWidth="1"/>
    <x:col min="13" max="13" width="33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  <x:col min="18" max="18" width="32" hidden="0" customWidth="1"/>
  </x:cols>
  <x:sheetData>
    <x:row r="1">
      <x:c r="A1" s="41" t="str">
        <x:v>Semana</x:v>
      </x:c>
      <x:c r="B1" s="41" t="str">
        <x:v>Início</x:v>
      </x:c>
      <x:c r="C1" s="41" t="str">
        <x:v>Fim</x:v>
      </x:c>
      <x:c r="D1" s="41" t="str">
        <x:v>Fase</x:v>
      </x:c>
      <x:c r="E1" s="41" t="str">
        <x:v>Volume alvo (km)</x:v>
      </x:c>
      <x:c r="F1" s="41" t="str">
        <x:v>Longão (km)</x:v>
      </x:c>
      <x:c r="G1" s="41" t="str">
        <x:v>Corridas/sem</x:v>
      </x:c>
      <x:c r="H1" s="41" t="str">
        <x:v>Terça</x:v>
      </x:c>
      <x:c r="I1" s="41" t="str">
        <x:v>Quinta</x:v>
      </x:c>
      <x:c r="J1" s="41" t="str">
        <x:v>Sábado</x:v>
      </x:c>
      <x:c r="K1" s="41" t="str">
        <x:v>Domingo / Longão</x:v>
      </x:c>
      <x:c r="L1" s="41" t="str">
        <x:v>Foco da semana</x:v>
      </x:c>
      <x:c r="M1" s="41" t="str">
        <x:v>Força sugerida</x:v>
      </x:c>
      <x:c r="N1" s="41" t="str">
        <x:v>Realizado (km)</x:v>
      </x:c>
      <x:c r="O1" s="41" t="str">
        <x:v>Peso médio (kg)</x:v>
      </x:c>
      <x:c r="P1" s="41" t="str">
        <x:v>Dor máx. 0–10</x:v>
      </x:c>
      <x:c r="Q1" s="41" t="str">
        <x:v>Status</x:v>
      </x:c>
      <x:c r="R1" s="41" t="str">
        <x:v>Observações</x:v>
      </x:c>
    </x:row>
    <x:row r="2">
      <x:c r="A2" t="n">
        <x:v>1</x:v>
      </x:c>
      <x:c r="B2" s="14" t="n">
        <x:v>46258</x:v>
      </x:c>
      <x:c r="C2" s="14" t="n">
        <x:v>46264</x:v>
      </x:c>
      <x:c r="D2" s="48" t="str">
        <x:v>Adaptação corrida/caminhada</x:v>
      </x:c>
      <x:c r="E2" s="49" t="n">
        <x:v>5</x:v>
      </x:c>
      <x:c r="F2" s="49" t="n">
        <x:v>2.5</x:v>
      </x:c>
      <x:c r="G2" s="48" t="n">
        <x:v>2</x:v>
      </x:c>
      <x:c r="H2" s="50" t="str">
        <x:v>20 min — 2' correr / 1' andar</x:v>
      </x:c>
      <x:c r="I2" s="50" t="str"/>
      <x:c r="J2" s="50" t="str">
        <x:v>25 min — 2' correr / 1' andar</x:v>
      </x:c>
      <x:c r="K2" s="50" t="str">
        <x:v>Descanso</x:v>
      </x:c>
      <x:c r="L2" s="50" t="str">
        <x:v>Adapte músculos, tendões e articulações. Ritmo conversável.</x:v>
      </x:c>
      <x:c r="M2" s="50" t="str">
        <x:v>3x/sem; pernas 1–2x, sem falha</x:v>
      </x:c>
      <x:c r="N2" s="46"/>
      <x:c r="O2" s="46"/>
      <x:c r="P2"/>
      <x:c r="Q2" t="str">
        <x:f>IF(N2="","Não preenchido",IF(P2&gt;=4,"REDUZIR",IF(N2&gt;=E2*0.9,"OK","Abaixo do plano")))</x:f>
        <x:v>Não preenchido</x:v>
      </x:c>
      <x:c r="R2" s="25"/>
    </x:row>
    <x:row r="3">
      <x:c r="A3" t="n">
        <x:v>2</x:v>
      </x:c>
      <x:c r="B3" s="14" t="n">
        <x:v>46265</x:v>
      </x:c>
      <x:c r="C3" s="14" t="n">
        <x:v>46271</x:v>
      </x:c>
      <x:c r="D3" s="48" t="str">
        <x:v>Adaptação corrida/caminhada</x:v>
      </x:c>
      <x:c r="E3" s="49" t="n">
        <x:v>6</x:v>
      </x:c>
      <x:c r="F3" s="49" t="n">
        <x:v>3</x:v>
      </x:c>
      <x:c r="G3" s="48" t="n">
        <x:v>2</x:v>
      </x:c>
      <x:c r="H3" s="50" t="str">
        <x:v>24 min — 2' correr / 1' andar</x:v>
      </x:c>
      <x:c r="I3" s="50" t="str"/>
      <x:c r="J3" s="50" t="str">
        <x:v>28 min — 2' correr / 1' andar</x:v>
      </x:c>
      <x:c r="K3" s="50" t="str">
        <x:v>Descanso</x:v>
      </x:c>
      <x:c r="L3" s="50" t="str">
        <x:v>Adapte músculos, tendões e articulações. Ritmo conversável.</x:v>
      </x:c>
      <x:c r="M3" s="50" t="str">
        <x:v>3x/sem; pernas 1–2x, sem falha</x:v>
      </x:c>
      <x:c r="N3" s="46"/>
      <x:c r="O3" s="46"/>
      <x:c r="P3"/>
      <x:c r="Q3" t="str">
        <x:f>IF(N3="","Não preenchido",IF(P3&gt;=4,"REDUZIR",IF(N3&gt;=E3*0.9,"OK","Abaixo do plano")))</x:f>
        <x:v>Não preenchido</x:v>
      </x:c>
      <x:c r="R3" s="25"/>
    </x:row>
    <x:row r="4">
      <x:c r="A4" t="n">
        <x:v>3</x:v>
      </x:c>
      <x:c r="B4" s="14" t="n">
        <x:v>46272</x:v>
      </x:c>
      <x:c r="C4" s="14" t="n">
        <x:v>46278</x:v>
      </x:c>
      <x:c r="D4" s="48" t="str">
        <x:v>Adaptação corrida/caminhada</x:v>
      </x:c>
      <x:c r="E4" s="49" t="n">
        <x:v>7</x:v>
      </x:c>
      <x:c r="F4" s="49" t="n">
        <x:v>3.5</x:v>
      </x:c>
      <x:c r="G4" s="48" t="n">
        <x:v>2</x:v>
      </x:c>
      <x:c r="H4" s="50" t="str">
        <x:v>28 min — 3' correr / 1' andar</x:v>
      </x:c>
      <x:c r="I4" s="50" t="str"/>
      <x:c r="J4" s="50" t="str">
        <x:v>32 min — 3' correr / 1' andar</x:v>
      </x:c>
      <x:c r="K4" s="50" t="str">
        <x:v>Descanso</x:v>
      </x:c>
      <x:c r="L4" s="50" t="str">
        <x:v>Adapte músculos, tendões e articulações. Ritmo conversável.</x:v>
      </x:c>
      <x:c r="M4" s="50" t="str">
        <x:v>3x/sem; pernas 1–2x, sem falha</x:v>
      </x:c>
      <x:c r="N4" s="46"/>
      <x:c r="O4" s="46"/>
      <x:c r="P4"/>
      <x:c r="Q4" t="str">
        <x:f>IF(N4="","Não preenchido",IF(P4&gt;=4,"REDUZIR",IF(N4&gt;=E4*0.9,"OK","Abaixo do plano")))</x:f>
        <x:v>Não preenchido</x:v>
      </x:c>
      <x:c r="R4" s="25"/>
    </x:row>
    <x:row r="5">
      <x:c r="A5" s="84" t="n">
        <x:v>4</x:v>
      </x:c>
      <x:c r="B5" s="85" t="n">
        <x:v>46279</x:v>
      </x:c>
      <x:c r="C5" s="85" t="n">
        <x:v>46285</x:v>
      </x:c>
      <x:c r="D5" s="86" t="str">
        <x:v>Adaptação corrida/caminhada</x:v>
      </x:c>
      <x:c r="E5" s="87" t="n">
        <x:v>5</x:v>
      </x:c>
      <x:c r="F5" s="87" t="n">
        <x:v>2.5</x:v>
      </x:c>
      <x:c r="G5" s="86" t="n">
        <x:v>2</x:v>
      </x:c>
      <x:c r="H5" s="88" t="str">
        <x:v>20–22 min — 2' correr / 1' andar</x:v>
      </x:c>
      <x:c r="I5" s="88" t="str"/>
      <x:c r="J5" s="88" t="str">
        <x:v>25 min bem fácil</x:v>
      </x:c>
      <x:c r="K5" s="88" t="str">
        <x:v>Descanso</x:v>
      </x:c>
      <x:c r="L5" s="88" t="str">
        <x:v>Semana leve: termine com sensação de sobra.</x:v>
      </x:c>
      <x:c r="M5" s="88" t="str">
        <x:v>3x/sem; pernas 1–2x, sem falha</x:v>
      </x:c>
      <x:c r="N5" s="89"/>
      <x:c r="O5" s="89"/>
      <x:c r="P5" s="84"/>
      <x:c r="Q5" s="84" t="str">
        <x:f>IF(N5="","Não preenchido",IF(P5&gt;=4,"REDUZIR",IF(N5&gt;=E5*0.9,"OK","Abaixo do plano")))</x:f>
        <x:v>Não preenchido</x:v>
      </x:c>
      <x:c r="R5" s="90"/>
    </x:row>
    <x:row r="6">
      <x:c r="A6" t="n">
        <x:v>5</x:v>
      </x:c>
      <x:c r="B6" s="14" t="n">
        <x:v>46286</x:v>
      </x:c>
      <x:c r="C6" s="14" t="n">
        <x:v>46292</x:v>
      </x:c>
      <x:c r="D6" s="54" t="str">
        <x:v>Base I</x:v>
      </x:c>
      <x:c r="E6" s="55" t="n">
        <x:v>8</x:v>
      </x:c>
      <x:c r="F6" s="55" t="n">
        <x:v>4</x:v>
      </x:c>
      <x:c r="G6" s="54" t="n">
        <x:v>3</x:v>
      </x:c>
      <x:c r="H6" s="56" t="str">
        <x:v>1.9 km fácil — RPE 2–3</x:v>
      </x:c>
      <x:c r="I6" s="56" t="str">
        <x:v>2.1 km fácil</x:v>
      </x:c>
      <x:c r="J6" s="56" t="str">
        <x:v>Descanso / caminhada leve</x:v>
      </x:c>
      <x:c r="K6" s="56" t="str">
        <x:v>4 km longão fácil — corrida/caminhada permitida</x:v>
      </x:c>
      <x:c r="L6" s="56" t="str">
        <x:v>Construir consistência; corrida/caminhada continua válida.</x:v>
      </x:c>
      <x:c r="M6" s="56" t="str">
        <x:v>3x/sem; pernas 1–2x, sem falha</x:v>
      </x:c>
      <x:c r="N6" s="46"/>
      <x:c r="O6" s="46"/>
      <x:c r="P6"/>
      <x:c r="Q6" t="str">
        <x:f>IF(N6="","Não preenchido",IF(P6&gt;=4,"REDUZIR",IF(N6&gt;=E6*0.9,"OK","Abaixo do plano")))</x:f>
        <x:v>Não preenchido</x:v>
      </x:c>
      <x:c r="R6" s="25"/>
    </x:row>
    <x:row r="7">
      <x:c r="A7" t="n">
        <x:v>6</x:v>
      </x:c>
      <x:c r="B7" s="14" t="n">
        <x:v>46293</x:v>
      </x:c>
      <x:c r="C7" s="14" t="n">
        <x:v>46299</x:v>
      </x:c>
      <x:c r="D7" s="54" t="str">
        <x:v>Base I</x:v>
      </x:c>
      <x:c r="E7" s="55" t="n">
        <x:v>10</x:v>
      </x:c>
      <x:c r="F7" s="55" t="n">
        <x:v>5</x:v>
      </x:c>
      <x:c r="G7" s="54" t="n">
        <x:v>3</x:v>
      </x:c>
      <x:c r="H7" s="56" t="str">
        <x:v>2.4 km fácil — RPE 2–3</x:v>
      </x:c>
      <x:c r="I7" s="56" t="str">
        <x:v>2.6 km fácil</x:v>
      </x:c>
      <x:c r="J7" s="56" t="str">
        <x:v>Descanso / caminhada leve</x:v>
      </x:c>
      <x:c r="K7" s="56" t="str">
        <x:v>5 km longão fácil — corrida/caminhada permitida</x:v>
      </x:c>
      <x:c r="L7" s="56" t="str">
        <x:v>Construir consistência; corrida/caminhada continua válida.</x:v>
      </x:c>
      <x:c r="M7" s="56" t="str">
        <x:v>3x/sem; pernas 1–2x, sem falha</x:v>
      </x:c>
      <x:c r="N7" s="46"/>
      <x:c r="O7" s="46"/>
      <x:c r="P7"/>
      <x:c r="Q7" t="str">
        <x:f>IF(N7="","Não preenchido",IF(P7&gt;=4,"REDUZIR",IF(N7&gt;=E7*0.9,"OK","Abaixo do plano")))</x:f>
        <x:v>Não preenchido</x:v>
      </x:c>
      <x:c r="R7" s="25"/>
    </x:row>
    <x:row r="8">
      <x:c r="A8" t="n">
        <x:v>7</x:v>
      </x:c>
      <x:c r="B8" s="14" t="n">
        <x:v>46300</x:v>
      </x:c>
      <x:c r="C8" s="14" t="n">
        <x:v>46306</x:v>
      </x:c>
      <x:c r="D8" s="54" t="str">
        <x:v>Base I</x:v>
      </x:c>
      <x:c r="E8" s="55" t="n">
        <x:v>12</x:v>
      </x:c>
      <x:c r="F8" s="55" t="n">
        <x:v>6</x:v>
      </x:c>
      <x:c r="G8" s="54" t="n">
        <x:v>3</x:v>
      </x:c>
      <x:c r="H8" s="56" t="str">
        <x:v>2.9 km fácil — RPE 2–3</x:v>
      </x:c>
      <x:c r="I8" s="56" t="str">
        <x:v>3.1 km fácil</x:v>
      </x:c>
      <x:c r="J8" s="56" t="str">
        <x:v>Descanso / caminhada leve</x:v>
      </x:c>
      <x:c r="K8" s="56" t="str">
        <x:v>6 km longão fácil — corrida/caminhada permitida</x:v>
      </x:c>
      <x:c r="L8" s="56" t="str">
        <x:v>Construir consistência; corrida/caminhada continua válida.</x:v>
      </x:c>
      <x:c r="M8" s="56" t="str">
        <x:v>3x/sem; pernas 1–2x, sem falha</x:v>
      </x:c>
      <x:c r="N8" s="46"/>
      <x:c r="O8" s="46"/>
      <x:c r="P8"/>
      <x:c r="Q8" t="str">
        <x:f>IF(N8="","Não preenchido",IF(P8&gt;=4,"REDUZIR",IF(N8&gt;=E8*0.9,"OK","Abaixo do plano")))</x:f>
        <x:v>Não preenchido</x:v>
      </x:c>
      <x:c r="R8" s="25"/>
    </x:row>
    <x:row r="9">
      <x:c r="A9" s="84" t="n">
        <x:v>8</x:v>
      </x:c>
      <x:c r="B9" s="85" t="n">
        <x:v>46307</x:v>
      </x:c>
      <x:c r="C9" s="85" t="n">
        <x:v>46313</x:v>
      </x:c>
      <x:c r="D9" s="98" t="str">
        <x:v>Base I</x:v>
      </x:c>
      <x:c r="E9" s="99" t="n">
        <x:v>9</x:v>
      </x:c>
      <x:c r="F9" s="99" t="n">
        <x:v>4</x:v>
      </x:c>
      <x:c r="G9" s="98" t="n">
        <x:v>3</x:v>
      </x:c>
      <x:c r="H9" s="100" t="str">
        <x:v>2.4 km fácil — RPE 2–3</x:v>
      </x:c>
      <x:c r="I9" s="100" t="str">
        <x:v>2.6 km fácil</x:v>
      </x:c>
      <x:c r="J9" s="100" t="str">
        <x:v>Descanso / caminhada leve</x:v>
      </x:c>
      <x:c r="K9" s="100" t="str">
        <x:v>4 km longão fácil — corrida/caminhada permitida</x:v>
      </x:c>
      <x:c r="L9" s="100" t="str">
        <x:v>Semana leve: consolide a rotina.</x:v>
      </x:c>
      <x:c r="M9" s="100" t="str">
        <x:v>3x/sem; pernas 1–2x, sem falha</x:v>
      </x:c>
      <x:c r="N9" s="89"/>
      <x:c r="O9" s="89"/>
      <x:c r="P9" s="84"/>
      <x:c r="Q9" s="84" t="str">
        <x:f>IF(N9="","Não preenchido",IF(P9&gt;=4,"REDUZIR",IF(N9&gt;=E9*0.9,"OK","Abaixo do plano")))</x:f>
        <x:v>Não preenchido</x:v>
      </x:c>
      <x:c r="R9" s="90"/>
    </x:row>
    <x:row r="10">
      <x:c r="A10" t="n">
        <x:v>9</x:v>
      </x:c>
      <x:c r="B10" s="14" t="n">
        <x:v>46314</x:v>
      </x:c>
      <x:c r="C10" s="14" t="n">
        <x:v>46320</x:v>
      </x:c>
      <x:c r="D10" s="54" t="str">
        <x:v>Base I</x:v>
      </x:c>
      <x:c r="E10" s="55" t="n">
        <x:v>13</x:v>
      </x:c>
      <x:c r="F10" s="55" t="n">
        <x:v>7</x:v>
      </x:c>
      <x:c r="G10" s="54" t="n">
        <x:v>3</x:v>
      </x:c>
      <x:c r="H10" s="56" t="str">
        <x:v>2.9 km fácil — RPE 2–3</x:v>
      </x:c>
      <x:c r="I10" s="56" t="str">
        <x:v>3.1 km fácil</x:v>
      </x:c>
      <x:c r="J10" s="56" t="str">
        <x:v>Descanso / caminhada leve</x:v>
      </x:c>
      <x:c r="K10" s="56" t="str">
        <x:v>7 km longão fácil — corrida/caminhada permitida</x:v>
      </x:c>
      <x:c r="L10" s="56" t="str">
        <x:v>Construir consistência; corrida/caminhada continua válida.</x:v>
      </x:c>
      <x:c r="M10" s="56" t="str">
        <x:v>3x/sem; pernas 1–2x, sem falha</x:v>
      </x:c>
      <x:c r="N10" s="46"/>
      <x:c r="O10" s="46"/>
      <x:c r="P10"/>
      <x:c r="Q10" t="str">
        <x:f>IF(N10="","Não preenchido",IF(P10&gt;=4,"REDUZIR",IF(N10&gt;=E10*0.9,"OK","Abaixo do plano")))</x:f>
        <x:v>Não preenchido</x:v>
      </x:c>
      <x:c r="R10" s="25"/>
    </x:row>
    <x:row r="11">
      <x:c r="A11" t="n">
        <x:v>10</x:v>
      </x:c>
      <x:c r="B11" s="14" t="n">
        <x:v>46321</x:v>
      </x:c>
      <x:c r="C11" s="14" t="n">
        <x:v>46327</x:v>
      </x:c>
      <x:c r="D11" s="54" t="str">
        <x:v>Base I</x:v>
      </x:c>
      <x:c r="E11" s="55" t="n">
        <x:v>15</x:v>
      </x:c>
      <x:c r="F11" s="55" t="n">
        <x:v>8</x:v>
      </x:c>
      <x:c r="G11" s="54" t="n">
        <x:v>3</x:v>
      </x:c>
      <x:c r="H11" s="56" t="str">
        <x:v>3.4 km fácil — RPE 2–3</x:v>
      </x:c>
      <x:c r="I11" s="56" t="str">
        <x:v>3.6 km fácil</x:v>
      </x:c>
      <x:c r="J11" s="56" t="str">
        <x:v>Descanso / caminhada leve</x:v>
      </x:c>
      <x:c r="K11" s="56" t="str">
        <x:v>8 km longão fácil — corrida/caminhada permitida</x:v>
      </x:c>
      <x:c r="L11" s="56" t="str">
        <x:v>Construir consistência; corrida/caminhada continua válida.</x:v>
      </x:c>
      <x:c r="M11" s="56" t="str">
        <x:v>3x/sem; pernas 1–2x, sem falha</x:v>
      </x:c>
      <x:c r="N11" s="46"/>
      <x:c r="O11" s="46"/>
      <x:c r="P11"/>
      <x:c r="Q11" t="str">
        <x:f>IF(N11="","Não preenchido",IF(P11&gt;=4,"REDUZIR",IF(N11&gt;=E11*0.9,"OK","Abaixo do plano")))</x:f>
        <x:v>Não preenchido</x:v>
      </x:c>
      <x:c r="R11" s="25"/>
    </x:row>
    <x:row r="12">
      <x:c r="A12" t="n">
        <x:v>11</x:v>
      </x:c>
      <x:c r="B12" s="14" t="n">
        <x:v>46328</x:v>
      </x:c>
      <x:c r="C12" s="14" t="n">
        <x:v>46334</x:v>
      </x:c>
      <x:c r="D12" s="54" t="str">
        <x:v>Base I</x:v>
      </x:c>
      <x:c r="E12" s="55" t="n">
        <x:v>17</x:v>
      </x:c>
      <x:c r="F12" s="55" t="n">
        <x:v>9</x:v>
      </x:c>
      <x:c r="G12" s="54" t="n">
        <x:v>3</x:v>
      </x:c>
      <x:c r="H12" s="56" t="str">
        <x:v>3.8 km fácil — RPE 2–3</x:v>
      </x:c>
      <x:c r="I12" s="56" t="str">
        <x:v>4.2 km fácil</x:v>
      </x:c>
      <x:c r="J12" s="56" t="str">
        <x:v>Descanso / caminhada leve</x:v>
      </x:c>
      <x:c r="K12" s="56" t="str">
        <x:v>9 km longão fácil — corrida/caminhada permitida</x:v>
      </x:c>
      <x:c r="L12" s="56" t="str">
        <x:v>Construir consistência; corrida/caminhada continua válida.</x:v>
      </x:c>
      <x:c r="M12" s="56" t="str">
        <x:v>3x/sem; pernas 1–2x, sem falha</x:v>
      </x:c>
      <x:c r="N12" s="46"/>
      <x:c r="O12" s="46"/>
      <x:c r="P12"/>
      <x:c r="Q12" t="str">
        <x:f>IF(N12="","Não preenchido",IF(P12&gt;=4,"REDUZIR",IF(N12&gt;=E12*0.9,"OK","Abaixo do plano")))</x:f>
        <x:v>Não preenchido</x:v>
      </x:c>
      <x:c r="R12" s="25"/>
    </x:row>
    <x:row r="13">
      <x:c r="A13" s="84" t="n">
        <x:v>12</x:v>
      </x:c>
      <x:c r="B13" s="85" t="n">
        <x:v>46335</x:v>
      </x:c>
      <x:c r="C13" s="85" t="n">
        <x:v>46341</x:v>
      </x:c>
      <x:c r="D13" s="98" t="str">
        <x:v>Base I</x:v>
      </x:c>
      <x:c r="E13" s="99" t="n">
        <x:v>12</x:v>
      </x:c>
      <x:c r="F13" s="99" t="n">
        <x:v>6</x:v>
      </x:c>
      <x:c r="G13" s="98" t="n">
        <x:v>3</x:v>
      </x:c>
      <x:c r="H13" s="100" t="str">
        <x:v>2.9 km fácil — RPE 2–3</x:v>
      </x:c>
      <x:c r="I13" s="100" t="str">
        <x:v>3.1 km fácil</x:v>
      </x:c>
      <x:c r="J13" s="100" t="str">
        <x:v>Descanso / caminhada leve</x:v>
      </x:c>
      <x:c r="K13" s="100" t="str">
        <x:v>6 km longão fácil — corrida/caminhada permitida</x:v>
      </x:c>
      <x:c r="L13" s="100" t="str">
        <x:v>CHECKPOINT: 5 km fácil e sem dor relevante. Se não, repita 3–4 semanas de base.</x:v>
      </x:c>
      <x:c r="M13" s="100" t="str">
        <x:v>3x/sem; pernas 1–2x, sem falha</x:v>
      </x:c>
      <x:c r="N13" s="89"/>
      <x:c r="O13" s="89"/>
      <x:c r="P13" s="84"/>
      <x:c r="Q13" s="84" t="str">
        <x:f>IF(N13="","Não preenchido",IF(P13&gt;=4,"REDUZIR",IF(N13&gt;=E13*0.9,"OK","Abaixo do plano")))</x:f>
        <x:v>Não preenchido</x:v>
      </x:c>
      <x:c r="R13" s="90"/>
    </x:row>
    <x:row r="14">
      <x:c r="A14" t="n">
        <x:v>13</x:v>
      </x:c>
      <x:c r="B14" s="14" t="n">
        <x:v>46342</x:v>
      </x:c>
      <x:c r="C14" s="14" t="n">
        <x:v>46348</x:v>
      </x:c>
      <x:c r="D14" s="60" t="str">
        <x:v>Base II</x:v>
      </x:c>
      <x:c r="E14" s="61" t="n">
        <x:v>18</x:v>
      </x:c>
      <x:c r="F14" s="61" t="n">
        <x:v>10</x:v>
      </x:c>
      <x:c r="G14" s="60" t="n">
        <x:v>3</x:v>
      </x:c>
      <x:c r="H14" s="62" t="str">
        <x:v>3.8 km fácil — RPE 2–3</x:v>
      </x:c>
      <x:c r="I14" s="62" t="str">
        <x:v>4.2 km fácil + 4×20s strides</x:v>
      </x:c>
      <x:c r="J14" s="62" t="str">
        <x:v>Descanso / caminhada leve</x:v>
      </x:c>
      <x:c r="K14" s="62" t="str">
        <x:v>10 km longão fácil — corrida/caminhada permitida</x:v>
      </x:c>
      <x:c r="L14" s="62" t="str">
        <x:v>Aumentar resistência sem perseguir velocidade.</x:v>
      </x:c>
      <x:c r="M14" s="62" t="str">
        <x:v>2–3x/sem; pernas 1x principal + 1x leve</x:v>
      </x:c>
      <x:c r="N14" s="46"/>
      <x:c r="O14" s="46"/>
      <x:c r="P14"/>
      <x:c r="Q14" t="str">
        <x:f>IF(N14="","Não preenchido",IF(P14&gt;=4,"REDUZIR",IF(N14&gt;=E14*0.9,"OK","Abaixo do plano")))</x:f>
        <x:v>Não preenchido</x:v>
      </x:c>
      <x:c r="R14" s="25"/>
    </x:row>
    <x:row r="15">
      <x:c r="A15" t="n">
        <x:v>14</x:v>
      </x:c>
      <x:c r="B15" s="14" t="n">
        <x:v>46349</x:v>
      </x:c>
      <x:c r="C15" s="14" t="n">
        <x:v>46355</x:v>
      </x:c>
      <x:c r="D15" s="60" t="str">
        <x:v>Base II</x:v>
      </x:c>
      <x:c r="E15" s="61" t="n">
        <x:v>20</x:v>
      </x:c>
      <x:c r="F15" s="61" t="n">
        <x:v>11</x:v>
      </x:c>
      <x:c r="G15" s="60" t="n">
        <x:v>3</x:v>
      </x:c>
      <x:c r="H15" s="62" t="str">
        <x:v>4.3 km fácil — RPE 2–3</x:v>
      </x:c>
      <x:c r="I15" s="62" t="str">
        <x:v>4.7 km fácil + 4×20s strides</x:v>
      </x:c>
      <x:c r="J15" s="62" t="str">
        <x:v>Descanso / caminhada leve</x:v>
      </x:c>
      <x:c r="K15" s="62" t="str">
        <x:v>11 km longão fácil — corrida/caminhada permitida</x:v>
      </x:c>
      <x:c r="L15" s="62" t="str">
        <x:v>Aumentar resistência sem perseguir velocidade.</x:v>
      </x:c>
      <x:c r="M15" s="62" t="str">
        <x:v>2–3x/sem; pernas 1x principal + 1x leve</x:v>
      </x:c>
      <x:c r="N15" s="46"/>
      <x:c r="O15" s="46"/>
      <x:c r="P15"/>
      <x:c r="Q15" t="str">
        <x:f>IF(N15="","Não preenchido",IF(P15&gt;=4,"REDUZIR",IF(N15&gt;=E15*0.9,"OK","Abaixo do plano")))</x:f>
        <x:v>Não preenchido</x:v>
      </x:c>
      <x:c r="R15" s="25"/>
    </x:row>
    <x:row r="16">
      <x:c r="A16" t="n">
        <x:v>15</x:v>
      </x:c>
      <x:c r="B16" s="14" t="n">
        <x:v>46356</x:v>
      </x:c>
      <x:c r="C16" s="14" t="n">
        <x:v>46362</x:v>
      </x:c>
      <x:c r="D16" s="60" t="str">
        <x:v>Base II</x:v>
      </x:c>
      <x:c r="E16" s="61" t="n">
        <x:v>22</x:v>
      </x:c>
      <x:c r="F16" s="61" t="n">
        <x:v>12</x:v>
      </x:c>
      <x:c r="G16" s="60" t="n">
        <x:v>3</x:v>
      </x:c>
      <x:c r="H16" s="62" t="str">
        <x:v>4.8 km fácil — RPE 2–3</x:v>
      </x:c>
      <x:c r="I16" s="62" t="str">
        <x:v>5.2 km fácil + 4×20s strides</x:v>
      </x:c>
      <x:c r="J16" s="62" t="str">
        <x:v>Descanso / caminhada leve</x:v>
      </x:c>
      <x:c r="K16" s="62" t="str">
        <x:v>12 km longão fácil — corrida/caminhada permitida</x:v>
      </x:c>
      <x:c r="L16" s="62" t="str">
        <x:v>Aumentar resistência sem perseguir velocidade.</x:v>
      </x:c>
      <x:c r="M16" s="62" t="str">
        <x:v>2–3x/sem; pernas 1x principal + 1x leve</x:v>
      </x:c>
      <x:c r="N16" s="46"/>
      <x:c r="O16" s="46"/>
      <x:c r="P16"/>
      <x:c r="Q16" t="str">
        <x:f>IF(N16="","Não preenchido",IF(P16&gt;=4,"REDUZIR",IF(N16&gt;=E16*0.9,"OK","Abaixo do plano")))</x:f>
        <x:v>Não preenchido</x:v>
      </x:c>
      <x:c r="R16" s="25"/>
    </x:row>
    <x:row r="17">
      <x:c r="A17" s="84" t="n">
        <x:v>16</x:v>
      </x:c>
      <x:c r="B17" s="85" t="n">
        <x:v>46363</x:v>
      </x:c>
      <x:c r="C17" s="85" t="n">
        <x:v>46369</x:v>
      </x:c>
      <x:c r="D17" s="104" t="str">
        <x:v>Base II</x:v>
      </x:c>
      <x:c r="E17" s="105" t="n">
        <x:v>16</x:v>
      </x:c>
      <x:c r="F17" s="105" t="n">
        <x:v>8</x:v>
      </x:c>
      <x:c r="G17" s="104" t="n">
        <x:v>3</x:v>
      </x:c>
      <x:c r="H17" s="106" t="str">
        <x:v>3.8 km fácil — RPE 2–3</x:v>
      </x:c>
      <x:c r="I17" s="106" t="str">
        <x:v>4.2 km fácil + 4×20s strides</x:v>
      </x:c>
      <x:c r="J17" s="106" t="str">
        <x:v>Descanso / caminhada leve</x:v>
      </x:c>
      <x:c r="K17" s="106" t="str">
        <x:v>8 km longão fácil — corrida/caminhada permitida</x:v>
      </x:c>
      <x:c r="L17" s="106" t="str">
        <x:v>Semana leve: recuperação de tendões e articulações.</x:v>
      </x:c>
      <x:c r="M17" s="106" t="str">
        <x:v>2–3x/sem; pernas 1x principal + 1x leve</x:v>
      </x:c>
      <x:c r="N17" s="89"/>
      <x:c r="O17" s="89"/>
      <x:c r="P17" s="84"/>
      <x:c r="Q17" s="84" t="str">
        <x:f>IF(N17="","Não preenchido",IF(P17&gt;=4,"REDUZIR",IF(N17&gt;=E17*0.9,"OK","Abaixo do plano")))</x:f>
        <x:v>Não preenchido</x:v>
      </x:c>
      <x:c r="R17" s="90"/>
    </x:row>
    <x:row r="18">
      <x:c r="A18" t="n">
        <x:v>17</x:v>
      </x:c>
      <x:c r="B18" s="14" t="n">
        <x:v>46370</x:v>
      </x:c>
      <x:c r="C18" s="14" t="n">
        <x:v>46376</x:v>
      </x:c>
      <x:c r="D18" s="60" t="str">
        <x:v>Base II</x:v>
      </x:c>
      <x:c r="E18" s="61" t="n">
        <x:v>23</x:v>
      </x:c>
      <x:c r="F18" s="61" t="n">
        <x:v>13</x:v>
      </x:c>
      <x:c r="G18" s="60" t="n">
        <x:v>3</x:v>
      </x:c>
      <x:c r="H18" s="62" t="str">
        <x:v>4.8 km fácil — RPE 2–3</x:v>
      </x:c>
      <x:c r="I18" s="62" t="str">
        <x:v>5.2 km fácil + 4×20s strides</x:v>
      </x:c>
      <x:c r="J18" s="62" t="str">
        <x:v>Descanso / caminhada leve</x:v>
      </x:c>
      <x:c r="K18" s="62" t="str">
        <x:v>13 km longão fácil — corrida/caminhada permitida</x:v>
      </x:c>
      <x:c r="L18" s="62" t="str">
        <x:v>Aumentar resistência sem perseguir velocidade.</x:v>
      </x:c>
      <x:c r="M18" s="62" t="str">
        <x:v>2–3x/sem; pernas 1x principal + 1x leve</x:v>
      </x:c>
      <x:c r="N18" s="46"/>
      <x:c r="O18" s="46"/>
      <x:c r="P18"/>
      <x:c r="Q18" t="str">
        <x:f>IF(N18="","Não preenchido",IF(P18&gt;=4,"REDUZIR",IF(N18&gt;=E18*0.9,"OK","Abaixo do plano")))</x:f>
        <x:v>Não preenchido</x:v>
      </x:c>
      <x:c r="R18" s="25"/>
    </x:row>
    <x:row r="19">
      <x:c r="A19" t="n">
        <x:v>18</x:v>
      </x:c>
      <x:c r="B19" s="14" t="n">
        <x:v>46377</x:v>
      </x:c>
      <x:c r="C19" s="14" t="n">
        <x:v>46383</x:v>
      </x:c>
      <x:c r="D19" s="60" t="str">
        <x:v>Base II</x:v>
      </x:c>
      <x:c r="E19" s="61" t="n">
        <x:v>25</x:v>
      </x:c>
      <x:c r="F19" s="61" t="n">
        <x:v>14</x:v>
      </x:c>
      <x:c r="G19" s="60" t="n">
        <x:v>3</x:v>
      </x:c>
      <x:c r="H19" s="62" t="str">
        <x:v>5.3 km fácil — RPE 2–3</x:v>
      </x:c>
      <x:c r="I19" s="62" t="str">
        <x:v>5.7 km fácil + 4×20s strides</x:v>
      </x:c>
      <x:c r="J19" s="62" t="str">
        <x:v>Descanso / caminhada leve</x:v>
      </x:c>
      <x:c r="K19" s="62" t="str">
        <x:v>14 km longão fácil — corrida/caminhada permitida</x:v>
      </x:c>
      <x:c r="L19" s="62" t="str">
        <x:v>Aumentar resistência sem perseguir velocidade.</x:v>
      </x:c>
      <x:c r="M19" s="62" t="str">
        <x:v>2–3x/sem; pernas 1x principal + 1x leve</x:v>
      </x:c>
      <x:c r="N19" s="46"/>
      <x:c r="O19" s="46"/>
      <x:c r="P19"/>
      <x:c r="Q19" t="str">
        <x:f>IF(N19="","Não preenchido",IF(P19&gt;=4,"REDUZIR",IF(N19&gt;=E19*0.9,"OK","Abaixo do plano")))</x:f>
        <x:v>Não preenchido</x:v>
      </x:c>
      <x:c r="R19" s="25"/>
    </x:row>
    <x:row r="20">
      <x:c r="A20" t="n">
        <x:v>19</x:v>
      </x:c>
      <x:c r="B20" s="14" t="n">
        <x:v>46384</x:v>
      </x:c>
      <x:c r="C20" s="14" t="n">
        <x:v>46390</x:v>
      </x:c>
      <x:c r="D20" s="60" t="str">
        <x:v>Base II</x:v>
      </x:c>
      <x:c r="E20" s="61" t="n">
        <x:v>27</x:v>
      </x:c>
      <x:c r="F20" s="61" t="n">
        <x:v>15</x:v>
      </x:c>
      <x:c r="G20" s="60" t="n">
        <x:v>3</x:v>
      </x:c>
      <x:c r="H20" s="62" t="str">
        <x:v>5.8 km fácil — RPE 2–3</x:v>
      </x:c>
      <x:c r="I20" s="62" t="str">
        <x:v>6.2 km fácil + 4×20s strides</x:v>
      </x:c>
      <x:c r="J20" s="62" t="str">
        <x:v>Descanso / caminhada leve</x:v>
      </x:c>
      <x:c r="K20" s="62" t="str">
        <x:v>15 km longão fácil — corrida/caminhada permitida</x:v>
      </x:c>
      <x:c r="L20" s="62" t="str">
        <x:v>Aumentar resistência sem perseguir velocidade.</x:v>
      </x:c>
      <x:c r="M20" s="62" t="str">
        <x:v>2–3x/sem; pernas 1x principal + 1x leve</x:v>
      </x:c>
      <x:c r="N20" s="46"/>
      <x:c r="O20" s="46"/>
      <x:c r="P20"/>
      <x:c r="Q20" t="str">
        <x:f>IF(N20="","Não preenchido",IF(P20&gt;=4,"REDUZIR",IF(N20&gt;=E20*0.9,"OK","Abaixo do plano")))</x:f>
        <x:v>Não preenchido</x:v>
      </x:c>
      <x:c r="R20" s="25"/>
    </x:row>
    <x:row r="21">
      <x:c r="A21" s="84" t="n">
        <x:v>20</x:v>
      </x:c>
      <x:c r="B21" s="85" t="n">
        <x:v>46391</x:v>
      </x:c>
      <x:c r="C21" s="85" t="n">
        <x:v>46397</x:v>
      </x:c>
      <x:c r="D21" s="104" t="str">
        <x:v>Base II</x:v>
      </x:c>
      <x:c r="E21" s="105" t="n">
        <x:v>20</x:v>
      </x:c>
      <x:c r="F21" s="105" t="n">
        <x:v>10</x:v>
      </x:c>
      <x:c r="G21" s="104" t="n">
        <x:v>3</x:v>
      </x:c>
      <x:c r="H21" s="106" t="str">
        <x:v>4.8 km fácil — RPE 2–3</x:v>
      </x:c>
      <x:c r="I21" s="106" t="str">
        <x:v>5.2 km fácil + 4×20s strides</x:v>
      </x:c>
      <x:c r="J21" s="106" t="str">
        <x:v>Descanso / caminhada leve</x:v>
      </x:c>
      <x:c r="K21" s="106" t="str">
        <x:v>10 km longão fácil — corrida/caminhada permitida</x:v>
      </x:c>
      <x:c r="L21" s="106" t="str">
        <x:v>CHECKPOINT: 10 km fácil e controlado. Só avance se recuperar bem.</x:v>
      </x:c>
      <x:c r="M21" s="106" t="str">
        <x:v>2–3x/sem; pernas 1x principal + 1x leve</x:v>
      </x:c>
      <x:c r="N21" s="89"/>
      <x:c r="O21" s="89"/>
      <x:c r="P21" s="84"/>
      <x:c r="Q21" s="84" t="str">
        <x:f>IF(N21="","Não preenchido",IF(P21&gt;=4,"REDUZIR",IF(N21&gt;=E21*0.9,"OK","Abaixo do plano")))</x:f>
        <x:v>Não preenchido</x:v>
      </x:c>
      <x:c r="R21" s="90"/>
    </x:row>
    <x:row r="22">
      <x:c r="A22" t="n">
        <x:v>21</x:v>
      </x:c>
      <x:c r="B22" s="14" t="n">
        <x:v>46398</x:v>
      </x:c>
      <x:c r="C22" s="14" t="n">
        <x:v>46404</x:v>
      </x:c>
      <x:c r="D22" s="66" t="str">
        <x:v>Resistência / Meia</x:v>
      </x:c>
      <x:c r="E22" s="67" t="n">
        <x:v>28</x:v>
      </x:c>
      <x:c r="F22" s="67" t="n">
        <x:v>16</x:v>
      </x:c>
      <x:c r="G22" s="66" t="n">
        <x:v>4</x:v>
      </x:c>
      <x:c r="H22" s="68" t="str">
        <x:v>3.8 km fácil — RPE 2–3</x:v>
      </x:c>
      <x:c r="I22" s="68" t="str">
        <x:v>4.8 km: fácil + 10–20 min moderado (RPE 4–5)</x:v>
      </x:c>
      <x:c r="J22" s="68" t="str">
        <x:v>3.4 km regenerativo — muito fácil</x:v>
      </x:c>
      <x:c r="K22" s="68" t="str">
        <x:v>16 km longão fácil — pratique hidratação/carbo</x:v>
      </x:c>
      <x:c r="L22" s="68" t="str">
        <x:v>Longões maiores; blocos moderados curtos e controlados.</x:v>
      </x:c>
      <x:c r="M22" s="68" t="str">
        <x:v>2–3x/sem; pernas 1x principal + 1x leve</x:v>
      </x:c>
      <x:c r="N22" s="46"/>
      <x:c r="O22" s="46"/>
      <x:c r="P22"/>
      <x:c r="Q22" t="str">
        <x:f>IF(N22="","Não preenchido",IF(P22&gt;=4,"REDUZIR",IF(N22&gt;=E22*0.9,"OK","Abaixo do plano")))</x:f>
        <x:v>Não preenchido</x:v>
      </x:c>
      <x:c r="R22" s="25"/>
    </x:row>
    <x:row r="23">
      <x:c r="A23" t="n">
        <x:v>22</x:v>
      </x:c>
      <x:c r="B23" s="14" t="n">
        <x:v>46405</x:v>
      </x:c>
      <x:c r="C23" s="14" t="n">
        <x:v>46411</x:v>
      </x:c>
      <x:c r="D23" s="66" t="str">
        <x:v>Resistência / Meia</x:v>
      </x:c>
      <x:c r="E23" s="67" t="n">
        <x:v>30</x:v>
      </x:c>
      <x:c r="F23" s="67" t="n">
        <x:v>17</x:v>
      </x:c>
      <x:c r="G23" s="66" t="n">
        <x:v>4</x:v>
      </x:c>
      <x:c r="H23" s="68" t="str">
        <x:v>4.2 km fácil — RPE 2–3</x:v>
      </x:c>
      <x:c r="I23" s="68" t="str">
        <x:v>5.2 km: fácil + 10–20 min moderado (RPE 4–5)</x:v>
      </x:c>
      <x:c r="J23" s="68" t="str">
        <x:v>3.6 km regenerativo — muito fácil</x:v>
      </x:c>
      <x:c r="K23" s="68" t="str">
        <x:v>17 km longão fácil — pratique hidratação/carbo</x:v>
      </x:c>
      <x:c r="L23" s="68" t="str">
        <x:v>Longões maiores; blocos moderados curtos e controlados.</x:v>
      </x:c>
      <x:c r="M23" s="68" t="str">
        <x:v>2–3x/sem; pernas 1x principal + 1x leve</x:v>
      </x:c>
      <x:c r="N23" s="46"/>
      <x:c r="O23" s="46"/>
      <x:c r="P23"/>
      <x:c r="Q23" t="str">
        <x:f>IF(N23="","Não preenchido",IF(P23&gt;=4,"REDUZIR",IF(N23&gt;=E23*0.9,"OK","Abaixo do plano")))</x:f>
        <x:v>Não preenchido</x:v>
      </x:c>
      <x:c r="R23" s="25"/>
    </x:row>
    <x:row r="24">
      <x:c r="A24" t="n">
        <x:v>23</x:v>
      </x:c>
      <x:c r="B24" s="14" t="n">
        <x:v>46412</x:v>
      </x:c>
      <x:c r="C24" s="14" t="n">
        <x:v>46418</x:v>
      </x:c>
      <x:c r="D24" s="66" t="str">
        <x:v>Resistência / Meia</x:v>
      </x:c>
      <x:c r="E24" s="67" t="n">
        <x:v>32</x:v>
      </x:c>
      <x:c r="F24" s="67" t="n">
        <x:v>18</x:v>
      </x:c>
      <x:c r="G24" s="66" t="n">
        <x:v>4</x:v>
      </x:c>
      <x:c r="H24" s="68" t="str">
        <x:v>4.5 km fácil — RPE 2–3</x:v>
      </x:c>
      <x:c r="I24" s="68" t="str">
        <x:v>5.6 km: fácil + 10–20 min moderado (RPE 4–5)</x:v>
      </x:c>
      <x:c r="J24" s="68" t="str">
        <x:v>3.9 km regenerativo — muito fácil</x:v>
      </x:c>
      <x:c r="K24" s="68" t="str">
        <x:v>18 km longão fácil — pratique hidratação/carbo</x:v>
      </x:c>
      <x:c r="L24" s="68" t="str">
        <x:v>Longões maiores; blocos moderados curtos e controlados.</x:v>
      </x:c>
      <x:c r="M24" s="68" t="str">
        <x:v>2–3x/sem; pernas 1x principal + 1x leve</x:v>
      </x:c>
      <x:c r="N24" s="46"/>
      <x:c r="O24" s="46"/>
      <x:c r="P24"/>
      <x:c r="Q24" t="str">
        <x:f>IF(N24="","Não preenchido",IF(P24&gt;=4,"REDUZIR",IF(N24&gt;=E24*0.9,"OK","Abaixo do plano")))</x:f>
        <x:v>Não preenchido</x:v>
      </x:c>
      <x:c r="R24" s="25"/>
    </x:row>
    <x:row r="25">
      <x:c r="A25" s="84" t="n">
        <x:v>24</x:v>
      </x:c>
      <x:c r="B25" s="85" t="n">
        <x:v>46419</x:v>
      </x:c>
      <x:c r="C25" s="85" t="n">
        <x:v>46425</x:v>
      </x:c>
      <x:c r="D25" s="110" t="str">
        <x:v>Resistência / Meia</x:v>
      </x:c>
      <x:c r="E25" s="111" t="n">
        <x:v>24</x:v>
      </x:c>
      <x:c r="F25" s="111" t="n">
        <x:v>12</x:v>
      </x:c>
      <x:c r="G25" s="110" t="n">
        <x:v>4</x:v>
      </x:c>
      <x:c r="H25" s="112" t="str">
        <x:v>3.8 km fácil — RPE 2–3</x:v>
      </x:c>
      <x:c r="I25" s="112" t="str">
        <x:v>4.8 km: fácil + 10–20 min moderado (RPE 4–5)</x:v>
      </x:c>
      <x:c r="J25" s="112" t="str">
        <x:v>3.4 km regenerativo — muito fácil</x:v>
      </x:c>
      <x:c r="K25" s="112" t="str">
        <x:v>12 km longão fácil — pratique hidratação/carbo</x:v>
      </x:c>
      <x:c r="L25" s="112" t="str">
        <x:v>Semana leve antes do bloco de meia.</x:v>
      </x:c>
      <x:c r="M25" s="112" t="str">
        <x:v>2–3x/sem; pernas 1x principal + 1x leve</x:v>
      </x:c>
      <x:c r="N25" s="89"/>
      <x:c r="O25" s="89"/>
      <x:c r="P25" s="84"/>
      <x:c r="Q25" s="84" t="str">
        <x:f>IF(N25="","Não preenchido",IF(P25&gt;=4,"REDUZIR",IF(N25&gt;=E25*0.9,"OK","Abaixo do plano")))</x:f>
        <x:v>Não preenchido</x:v>
      </x:c>
      <x:c r="R25" s="90"/>
    </x:row>
    <x:row r="26">
      <x:c r="A26" t="n">
        <x:v>25</x:v>
      </x:c>
      <x:c r="B26" s="14" t="n">
        <x:v>46426</x:v>
      </x:c>
      <x:c r="C26" s="14" t="n">
        <x:v>46432</x:v>
      </x:c>
      <x:c r="D26" s="66" t="str">
        <x:v>Resistência / Meia</x:v>
      </x:c>
      <x:c r="E26" s="67" t="n">
        <x:v>33</x:v>
      </x:c>
      <x:c r="F26" s="67" t="n">
        <x:v>19</x:v>
      </x:c>
      <x:c r="G26" s="66" t="n">
        <x:v>4</x:v>
      </x:c>
      <x:c r="H26" s="68" t="str">
        <x:v>4.5 km fácil — RPE 2–3</x:v>
      </x:c>
      <x:c r="I26" s="68" t="str">
        <x:v>5.6 km: fácil + 10–20 min moderado (RPE 4–5)</x:v>
      </x:c>
      <x:c r="J26" s="68" t="str">
        <x:v>3.9 km regenerativo — muito fácil</x:v>
      </x:c>
      <x:c r="K26" s="68" t="str">
        <x:v>19 km longão fácil — pratique hidratação/carbo</x:v>
      </x:c>
      <x:c r="L26" s="68" t="str">
        <x:v>Longões maiores; blocos moderados curtos e controlados.</x:v>
      </x:c>
      <x:c r="M26" s="68" t="str">
        <x:v>2–3x/sem; pernas 1x principal + 1x leve</x:v>
      </x:c>
      <x:c r="N26" s="46"/>
      <x:c r="O26" s="46"/>
      <x:c r="P26"/>
      <x:c r="Q26" t="str">
        <x:f>IF(N26="","Não preenchido",IF(P26&gt;=4,"REDUZIR",IF(N26&gt;=E26*0.9,"OK","Abaixo do plano")))</x:f>
        <x:v>Não preenchido</x:v>
      </x:c>
      <x:c r="R26" s="25"/>
    </x:row>
    <x:row r="27">
      <x:c r="A27" t="n">
        <x:v>26</x:v>
      </x:c>
      <x:c r="B27" s="14" t="n">
        <x:v>46433</x:v>
      </x:c>
      <x:c r="C27" s="14" t="n">
        <x:v>46439</x:v>
      </x:c>
      <x:c r="D27" s="66" t="str">
        <x:v>Resistência / Meia</x:v>
      </x:c>
      <x:c r="E27" s="67" t="n">
        <x:v>35</x:v>
      </x:c>
      <x:c r="F27" s="67" t="n">
        <x:v>20</x:v>
      </x:c>
      <x:c r="G27" s="66" t="n">
        <x:v>4</x:v>
      </x:c>
      <x:c r="H27" s="68" t="str">
        <x:v>4.8 km fácil — RPE 2–3</x:v>
      </x:c>
      <x:c r="I27" s="68" t="str">
        <x:v>6 km: fácil + 10–20 min moderado (RPE 4–5)</x:v>
      </x:c>
      <x:c r="J27" s="68" t="str">
        <x:v>4.2 km regenerativo — muito fácil</x:v>
      </x:c>
      <x:c r="K27" s="68" t="str">
        <x:v>20 km longão fácil — pratique hidratação/carbo</x:v>
      </x:c>
      <x:c r="L27" s="68" t="str">
        <x:v>Longões maiores; blocos moderados curtos e controlados.</x:v>
      </x:c>
      <x:c r="M27" s="68" t="str">
        <x:v>2–3x/sem; pernas 1x principal + 1x leve</x:v>
      </x:c>
      <x:c r="N27" s="46"/>
      <x:c r="O27" s="46"/>
      <x:c r="P27"/>
      <x:c r="Q27" t="str">
        <x:f>IF(N27="","Não preenchido",IF(P27&gt;=4,"REDUZIR",IF(N27&gt;=E27*0.9,"OK","Abaixo do plano")))</x:f>
        <x:v>Não preenchido</x:v>
      </x:c>
      <x:c r="R27" s="25"/>
    </x:row>
    <x:row r="28">
      <x:c r="A28" t="n">
        <x:v>27</x:v>
      </x:c>
      <x:c r="B28" s="14" t="n">
        <x:v>46440</x:v>
      </x:c>
      <x:c r="C28" s="14" t="n">
        <x:v>46446</x:v>
      </x:c>
      <x:c r="D28" s="66" t="str">
        <x:v>Resistência / Meia</x:v>
      </x:c>
      <x:c r="E28" s="67" t="n">
        <x:v>37</x:v>
      </x:c>
      <x:c r="F28" s="67" t="n">
        <x:v>21.1</x:v>
      </x:c>
      <x:c r="G28" s="66" t="n">
        <x:v>4</x:v>
      </x:c>
      <x:c r="H28" s="68" t="str">
        <x:v>5.1 km fácil — RPE 2–3</x:v>
      </x:c>
      <x:c r="I28" s="68" t="str">
        <x:v>6.4 km: fácil + 10–20 min moderado (RPE 4–5)</x:v>
      </x:c>
      <x:c r="J28" s="68" t="str">
        <x:v>4.4 km regenerativo — muito fácil</x:v>
      </x:c>
      <x:c r="K28" s="68" t="str">
        <x:v>21.1 km longão fácil — pratique hidratação/carbo</x:v>
      </x:c>
      <x:c r="L28" s="68" t="str">
        <x:v>CHECKPOINT: 21,1 km em esforço fácil; caminhada é permitida.</x:v>
      </x:c>
      <x:c r="M28" s="68" t="str">
        <x:v>2–3x/sem; pernas 1x principal + 1x leve</x:v>
      </x:c>
      <x:c r="N28" s="46"/>
      <x:c r="O28" s="46"/>
      <x:c r="P28"/>
      <x:c r="Q28" t="str">
        <x:f>IF(N28="","Não preenchido",IF(P28&gt;=4,"REDUZIR",IF(N28&gt;=E28*0.9,"OK","Abaixo do plano")))</x:f>
        <x:v>Não preenchido</x:v>
      </x:c>
      <x:c r="R28" s="25"/>
    </x:row>
    <x:row r="29">
      <x:c r="A29" s="84" t="n">
        <x:v>28</x:v>
      </x:c>
      <x:c r="B29" s="85" t="n">
        <x:v>46447</x:v>
      </x:c>
      <x:c r="C29" s="85" t="n">
        <x:v>46453</x:v>
      </x:c>
      <x:c r="D29" s="110" t="str">
        <x:v>Resistência / Meia</x:v>
      </x:c>
      <x:c r="E29" s="111" t="n">
        <x:v>28</x:v>
      </x:c>
      <x:c r="F29" s="111" t="n">
        <x:v>14</x:v>
      </x:c>
      <x:c r="G29" s="110" t="n">
        <x:v>4</x:v>
      </x:c>
      <x:c r="H29" s="112" t="str">
        <x:v>4.5 km fácil — RPE 2–3</x:v>
      </x:c>
      <x:c r="I29" s="112" t="str">
        <x:v>5.6 km: fácil + 10–20 min moderado (RPE 4–5)</x:v>
      </x:c>
      <x:c r="J29" s="112" t="str">
        <x:v>3.9 km regenerativo — muito fácil</x:v>
      </x:c>
      <x:c r="K29" s="112" t="str">
        <x:v>14 km longão fácil — pratique hidratação/carbo</x:v>
      </x:c>
      <x:c r="L29" s="112" t="str">
        <x:v>Recuperação após a meia/simulado.</x:v>
      </x:c>
      <x:c r="M29" s="112" t="str">
        <x:v>2–3x/sem; pernas 1x principal + 1x leve</x:v>
      </x:c>
      <x:c r="N29" s="89"/>
      <x:c r="O29" s="89"/>
      <x:c r="P29" s="84"/>
      <x:c r="Q29" s="84" t="str">
        <x:f>IF(N29="","Não preenchido",IF(P29&gt;=4,"REDUZIR",IF(N29&gt;=E29*0.9,"OK","Abaixo do plano")))</x:f>
        <x:v>Não preenchido</x:v>
      </x:c>
      <x:c r="R29" s="90"/>
    </x:row>
    <x:row r="30">
      <x:c r="A30" t="n">
        <x:v>29</x:v>
      </x:c>
      <x:c r="B30" s="14" t="n">
        <x:v>46454</x:v>
      </x:c>
      <x:c r="C30" s="14" t="n">
        <x:v>46460</x:v>
      </x:c>
      <x:c r="D30" s="72" t="str">
        <x:v>Específico Maratona</x:v>
      </x:c>
      <x:c r="E30" s="73" t="n">
        <x:v>38</x:v>
      </x:c>
      <x:c r="F30" s="73" t="n">
        <x:v>22</x:v>
      </x:c>
      <x:c r="G30" s="72" t="n">
        <x:v>4</x:v>
      </x:c>
      <x:c r="H30" s="74" t="str">
        <x:v>5.1 km fácil — RPE 2–3</x:v>
      </x:c>
      <x:c r="I30" s="74" t="str">
        <x:v>6.4 km: fácil + 10–20 min moderado (RPE 4–5)</x:v>
      </x:c>
      <x:c r="J30" s="74" t="str">
        <x:v>4.5 km regenerativo — muito fácil</x:v>
      </x:c>
      <x:c r="K30" s="74" t="str">
        <x:v>22 km longão fácil — pratique hidratação/carbo</x:v>
      </x:c>
      <x:c r="L30" s="74" t="str">
        <x:v>Tempo em pé, alimentação e controle de esforço.</x:v>
      </x:c>
      <x:c r="M30" s="74" t="str">
        <x:v>2x/sem; reduzir volume de pernas 20–40%</x:v>
      </x:c>
      <x:c r="N30" s="46"/>
      <x:c r="O30" s="46"/>
      <x:c r="P30"/>
      <x:c r="Q30" t="str">
        <x:f>IF(N30="","Não preenchido",IF(P30&gt;=4,"REDUZIR",IF(N30&gt;=E30*0.9,"OK","Abaixo do plano")))</x:f>
        <x:v>Não preenchido</x:v>
      </x:c>
      <x:c r="R30" s="25"/>
    </x:row>
    <x:row r="31">
      <x:c r="A31" t="n">
        <x:v>30</x:v>
      </x:c>
      <x:c r="B31" s="14" t="n">
        <x:v>46461</x:v>
      </x:c>
      <x:c r="C31" s="14" t="n">
        <x:v>46467</x:v>
      </x:c>
      <x:c r="D31" s="72" t="str">
        <x:v>Específico Maratona</x:v>
      </x:c>
      <x:c r="E31" s="73" t="n">
        <x:v>40</x:v>
      </x:c>
      <x:c r="F31" s="73" t="n">
        <x:v>24</x:v>
      </x:c>
      <x:c r="G31" s="72" t="n">
        <x:v>4</x:v>
      </x:c>
      <x:c r="H31" s="74" t="str">
        <x:v>5.1 km fácil — RPE 2–3</x:v>
      </x:c>
      <x:c r="I31" s="74" t="str">
        <x:v>6.4 km: fácil + 10–20 min moderado (RPE 4–5)</x:v>
      </x:c>
      <x:c r="J31" s="74" t="str">
        <x:v>4.5 km regenerativo — muito fácil</x:v>
      </x:c>
      <x:c r="K31" s="74" t="str">
        <x:v>24 km longão fácil — pratique hidratação/carbo</x:v>
      </x:c>
      <x:c r="L31" s="74" t="str">
        <x:v>Tempo em pé, alimentação e controle de esforço.</x:v>
      </x:c>
      <x:c r="M31" s="74" t="str">
        <x:v>2x/sem; reduzir volume de pernas 20–40%</x:v>
      </x:c>
      <x:c r="N31" s="46"/>
      <x:c r="O31" s="46"/>
      <x:c r="P31"/>
      <x:c r="Q31" t="str">
        <x:f>IF(N31="","Não preenchido",IF(P31&gt;=4,"REDUZIR",IF(N31&gt;=E31*0.9,"OK","Abaixo do plano")))</x:f>
        <x:v>Não preenchido</x:v>
      </x:c>
      <x:c r="R31" s="25"/>
    </x:row>
    <x:row r="32">
      <x:c r="A32" t="n">
        <x:v>31</x:v>
      </x:c>
      <x:c r="B32" s="14" t="n">
        <x:v>46468</x:v>
      </x:c>
      <x:c r="C32" s="14" t="n">
        <x:v>46474</x:v>
      </x:c>
      <x:c r="D32" s="72" t="str">
        <x:v>Específico Maratona</x:v>
      </x:c>
      <x:c r="E32" s="73" t="n">
        <x:v>42</x:v>
      </x:c>
      <x:c r="F32" s="73" t="n">
        <x:v>26</x:v>
      </x:c>
      <x:c r="G32" s="72" t="n">
        <x:v>4</x:v>
      </x:c>
      <x:c r="H32" s="74" t="str">
        <x:v>5.1 km fácil — RPE 2–3</x:v>
      </x:c>
      <x:c r="I32" s="74" t="str">
        <x:v>6.4 km: fácil + 10–20 min moderado (RPE 4–5)</x:v>
      </x:c>
      <x:c r="J32" s="74" t="str">
        <x:v>4.5 km regenerativo — muito fácil</x:v>
      </x:c>
      <x:c r="K32" s="74" t="str">
        <x:v>26 km longão fácil — pratique hidratação/carbo</x:v>
      </x:c>
      <x:c r="L32" s="74" t="str">
        <x:v>Tempo em pé, alimentação e controle de esforço.</x:v>
      </x:c>
      <x:c r="M32" s="74" t="str">
        <x:v>2x/sem; reduzir volume de pernas 20–40%</x:v>
      </x:c>
      <x:c r="N32" s="46"/>
      <x:c r="O32" s="46"/>
      <x:c r="P32"/>
      <x:c r="Q32" t="str">
        <x:f>IF(N32="","Não preenchido",IF(P32&gt;=4,"REDUZIR",IF(N32&gt;=E32*0.9,"OK","Abaixo do plano")))</x:f>
        <x:v>Não preenchido</x:v>
      </x:c>
      <x:c r="R32" s="25"/>
    </x:row>
    <x:row r="33">
      <x:c r="A33" s="84" t="n">
        <x:v>32</x:v>
      </x:c>
      <x:c r="B33" s="85" t="n">
        <x:v>46475</x:v>
      </x:c>
      <x:c r="C33" s="85" t="n">
        <x:v>46481</x:v>
      </x:c>
      <x:c r="D33" s="116" t="str">
        <x:v>Específico Maratona</x:v>
      </x:c>
      <x:c r="E33" s="117" t="n">
        <x:v>32</x:v>
      </x:c>
      <x:c r="F33" s="117" t="n">
        <x:v>18</x:v>
      </x:c>
      <x:c r="G33" s="116" t="n">
        <x:v>4</x:v>
      </x:c>
      <x:c r="H33" s="118" t="str">
        <x:v>4.5 km fácil — RPE 2–3</x:v>
      </x:c>
      <x:c r="I33" s="118" t="str">
        <x:v>5.6 km: fácil + 10–20 min moderado (RPE 4–5)</x:v>
      </x:c>
      <x:c r="J33" s="118" t="str">
        <x:v>3.9 km regenerativo — muito fácil</x:v>
      </x:c>
      <x:c r="K33" s="118" t="str">
        <x:v>18 km longão fácil — pratique hidratação/carbo</x:v>
      </x:c>
      <x:c r="L33" s="118" t="str">
        <x:v>Semana leve dentro do bloco específico.</x:v>
      </x:c>
      <x:c r="M33" s="118" t="str">
        <x:v>2x/sem; reduzir volume de pernas 20–40%</x:v>
      </x:c>
      <x:c r="N33" s="89"/>
      <x:c r="O33" s="89"/>
      <x:c r="P33" s="84"/>
      <x:c r="Q33" s="84" t="str">
        <x:f>IF(N33="","Não preenchido",IF(P33&gt;=4,"REDUZIR",IF(N33&gt;=E33*0.9,"OK","Abaixo do plano")))</x:f>
        <x:v>Não preenchido</x:v>
      </x:c>
      <x:c r="R33" s="90"/>
    </x:row>
    <x:row r="34">
      <x:c r="A34" t="n">
        <x:v>33</x:v>
      </x:c>
      <x:c r="B34" s="14" t="n">
        <x:v>46482</x:v>
      </x:c>
      <x:c r="C34" s="14" t="n">
        <x:v>46488</x:v>
      </x:c>
      <x:c r="D34" s="72" t="str">
        <x:v>Específico Maratona</x:v>
      </x:c>
      <x:c r="E34" s="73" t="n">
        <x:v>44</x:v>
      </x:c>
      <x:c r="F34" s="73" t="n">
        <x:v>27</x:v>
      </x:c>
      <x:c r="G34" s="72" t="n">
        <x:v>4</x:v>
      </x:c>
      <x:c r="H34" s="74" t="str">
        <x:v>5.4 km fácil — RPE 2–3</x:v>
      </x:c>
      <x:c r="I34" s="74" t="str">
        <x:v>6.8 km: fácil + 10–20 min moderado (RPE 4–5)</x:v>
      </x:c>
      <x:c r="J34" s="74" t="str">
        <x:v>4.8 km regenerativo — muito fácil</x:v>
      </x:c>
      <x:c r="K34" s="74" t="str">
        <x:v>27 km longão fácil — pratique hidratação/carbo</x:v>
      </x:c>
      <x:c r="L34" s="74" t="str">
        <x:v>Tempo em pé, alimentação e controle de esforço.</x:v>
      </x:c>
      <x:c r="M34" s="74" t="str">
        <x:v>2x/sem; reduzir volume de pernas 20–40%</x:v>
      </x:c>
      <x:c r="N34" s="46"/>
      <x:c r="O34" s="46"/>
      <x:c r="P34"/>
      <x:c r="Q34" t="str">
        <x:f>IF(N34="","Não preenchido",IF(P34&gt;=4,"REDUZIR",IF(N34&gt;=E34*0.9,"OK","Abaixo do plano")))</x:f>
        <x:v>Não preenchido</x:v>
      </x:c>
      <x:c r="R34" s="25"/>
    </x:row>
    <x:row r="35">
      <x:c r="A35" t="n">
        <x:v>34</x:v>
      </x:c>
      <x:c r="B35" s="14" t="n">
        <x:v>46489</x:v>
      </x:c>
      <x:c r="C35" s="14" t="n">
        <x:v>46495</x:v>
      </x:c>
      <x:c r="D35" s="72" t="str">
        <x:v>Específico Maratona</x:v>
      </x:c>
      <x:c r="E35" s="73" t="n">
        <x:v>48</x:v>
      </x:c>
      <x:c r="F35" s="73" t="n">
        <x:v>28</x:v>
      </x:c>
      <x:c r="G35" s="72" t="n">
        <x:v>4</x:v>
      </x:c>
      <x:c r="H35" s="74" t="str">
        <x:v>6.4 km fácil — RPE 2–3</x:v>
      </x:c>
      <x:c r="I35" s="74" t="str">
        <x:v>8 km: fácil + 10–20 min moderado (RPE 4–5)</x:v>
      </x:c>
      <x:c r="J35" s="74" t="str">
        <x:v>5.6 km regenerativo — muito fácil</x:v>
      </x:c>
      <x:c r="K35" s="74" t="str">
        <x:v>28 km longão fácil — pratique hidratação/carbo</x:v>
      </x:c>
      <x:c r="L35" s="74" t="str">
        <x:v>Tempo em pé, alimentação e controle de esforço.</x:v>
      </x:c>
      <x:c r="M35" s="74" t="str">
        <x:v>2x/sem; reduzir volume de pernas 20–40%</x:v>
      </x:c>
      <x:c r="N35" s="46"/>
      <x:c r="O35" s="46"/>
      <x:c r="P35"/>
      <x:c r="Q35" t="str">
        <x:f>IF(N35="","Não preenchido",IF(P35&gt;=4,"REDUZIR",IF(N35&gt;=E35*0.9,"OK","Abaixo do plano")))</x:f>
        <x:v>Não preenchido</x:v>
      </x:c>
      <x:c r="R35" s="25"/>
    </x:row>
    <x:row r="36">
      <x:c r="A36" t="n">
        <x:v>35</x:v>
      </x:c>
      <x:c r="B36" s="14" t="n">
        <x:v>46496</x:v>
      </x:c>
      <x:c r="C36" s="14" t="n">
        <x:v>46502</x:v>
      </x:c>
      <x:c r="D36" s="72" t="str">
        <x:v>Específico Maratona</x:v>
      </x:c>
      <x:c r="E36" s="73" t="n">
        <x:v>52</x:v>
      </x:c>
      <x:c r="F36" s="73" t="n">
        <x:v>30</x:v>
      </x:c>
      <x:c r="G36" s="72" t="n">
        <x:v>4</x:v>
      </x:c>
      <x:c r="H36" s="74" t="str">
        <x:v>7 km fácil — RPE 2–3</x:v>
      </x:c>
      <x:c r="I36" s="74" t="str">
        <x:v>8.8 km: fácil + 10–20 min moderado (RPE 4–5)</x:v>
      </x:c>
      <x:c r="J36" s="74" t="str">
        <x:v>6.2 km regenerativo — muito fácil</x:v>
      </x:c>
      <x:c r="K36" s="74" t="str">
        <x:v>30 km longão fácil — pratique hidratação/carbo</x:v>
      </x:c>
      <x:c r="L36" s="74" t="str">
        <x:v>Pico: 30 km fácil. Teste roupa, tênis, hidratação e carboidrato.</x:v>
      </x:c>
      <x:c r="M36" s="74" t="str">
        <x:v>2x/sem; reduzir volume de pernas 20–40%</x:v>
      </x:c>
      <x:c r="N36" s="46"/>
      <x:c r="O36" s="46"/>
      <x:c r="P36"/>
      <x:c r="Q36" t="str">
        <x:f>IF(N36="","Não preenchido",IF(P36&gt;=4,"REDUZIR",IF(N36&gt;=E36*0.9,"OK","Abaixo do plano")))</x:f>
        <x:v>Não preenchido</x:v>
      </x:c>
      <x:c r="R36" s="25"/>
    </x:row>
    <x:row r="37">
      <x:c r="A37" s="84" t="n">
        <x:v>36</x:v>
      </x:c>
      <x:c r="B37" s="85" t="n">
        <x:v>46503</x:v>
      </x:c>
      <x:c r="C37" s="85" t="n">
        <x:v>46509</x:v>
      </x:c>
      <x:c r="D37" s="122" t="str">
        <x:v>Taper + Prova</x:v>
      </x:c>
      <x:c r="E37" s="123" t="n">
        <x:v>36</x:v>
      </x:c>
      <x:c r="F37" s="123" t="n">
        <x:v>20</x:v>
      </x:c>
      <x:c r="G37" s="122" t="n">
        <x:v>4</x:v>
      </x:c>
      <x:c r="H37" s="124" t="str">
        <x:v>5.1 km fácil — RPE 2–3</x:v>
      </x:c>
      <x:c r="I37" s="124" t="str">
        <x:v>6.4 km fácil</x:v>
      </x:c>
      <x:c r="J37" s="124" t="str">
        <x:v>4.5 km regenerativo — muito fácil</x:v>
      </x:c>
      <x:c r="K37" s="124" t="str">
        <x:v>20 km longão fácil — pratique hidratação/carbo</x:v>
      </x:c>
      <x:c r="L37" s="124" t="str">
        <x:v>Taper: reduza volume e mantenha frequência.</x:v>
      </x:c>
      <x:c r="M37" s="124" t="str">
        <x:v>1–2x leve; nada pesado perto da prova</x:v>
      </x:c>
      <x:c r="N37" s="89"/>
      <x:c r="O37" s="89"/>
      <x:c r="P37" s="84"/>
      <x:c r="Q37" s="84" t="str">
        <x:f>IF(N37="","Não preenchido",IF(P37&gt;=4,"REDUZIR",IF(N37&gt;=E37*0.9,"OK","Abaixo do plano")))</x:f>
        <x:v>Não preenchido</x:v>
      </x:c>
      <x:c r="R37" s="90"/>
    </x:row>
    <x:row r="38">
      <x:c r="A38" s="84" t="n">
        <x:v>37</x:v>
      </x:c>
      <x:c r="B38" s="85" t="n">
        <x:v>46510</x:v>
      </x:c>
      <x:c r="C38" s="85" t="n">
        <x:v>46516</x:v>
      </x:c>
      <x:c r="D38" s="122" t="str">
        <x:v>Taper + Prova</x:v>
      </x:c>
      <x:c r="E38" s="123" t="n">
        <x:v>24</x:v>
      </x:c>
      <x:c r="F38" s="123" t="n">
        <x:v>12</x:v>
      </x:c>
      <x:c r="G38" s="122" t="n">
        <x:v>4</x:v>
      </x:c>
      <x:c r="H38" s="124" t="str">
        <x:v>3.8 km fácil — RPE 2–3</x:v>
      </x:c>
      <x:c r="I38" s="124" t="str">
        <x:v>4.8 km fácil</x:v>
      </x:c>
      <x:c r="J38" s="124" t="str">
        <x:v>3.4 km regenerativo — muito fácil</x:v>
      </x:c>
      <x:c r="K38" s="124" t="str">
        <x:v>12 km longão fácil — pratique hidratação/carbo</x:v>
      </x:c>
      <x:c r="L38" s="124" t="str">
        <x:v>Taper: tudo fácil; objetivo é chegar descansado.</x:v>
      </x:c>
      <x:c r="M38" s="124" t="str">
        <x:v>1–2x leve; nada pesado perto da prova</x:v>
      </x:c>
      <x:c r="N38" s="89"/>
      <x:c r="O38" s="89"/>
      <x:c r="P38" s="84"/>
      <x:c r="Q38" s="84" t="str">
        <x:f>IF(N38="","Não preenchido",IF(P38&gt;=4,"REDUZIR",IF(N38&gt;=E38*0.9,"OK","Abaixo do plano")))</x:f>
        <x:v>Não preenchido</x:v>
      </x:c>
      <x:c r="R38" s="90"/>
    </x:row>
    <x:row r="39">
      <x:c r="A39" s="84" t="n">
        <x:v>38</x:v>
      </x:c>
      <x:c r="B39" s="85" t="n">
        <x:v>46517</x:v>
      </x:c>
      <x:c r="C39" s="85" t="n">
        <x:v>46523</x:v>
      </x:c>
      <x:c r="D39" s="122" t="str">
        <x:v>Taper + Prova</x:v>
      </x:c>
      <x:c r="E39" s="123" t="n">
        <x:v>50.2</x:v>
      </x:c>
      <x:c r="F39" s="123" t="n">
        <x:v>42.2</x:v>
      </x:c>
      <x:c r="G39" s="122" t="n">
        <x:v>4</x:v>
      </x:c>
      <x:c r="H39" s="124" t="str">
        <x:v>3 km muito fácil + 4 acelerações de 15s</x:v>
      </x:c>
      <x:c r="I39" s="124" t="str">
        <x:v>3 km muito fácil</x:v>
      </x:c>
      <x:c r="J39" s="124" t="str">
        <x:v>2 km soltura OU descanso</x:v>
      </x:c>
      <x:c r="K39" s="124" t="str">
        <x:v>PROVA 42,195 km — esforço conservador</x:v>
      </x:c>
      <x:c r="L39" s="124" t="str">
        <x:v>SEMANA DA PROVA: 42,195 km. Comece conservador.</x:v>
      </x:c>
      <x:c r="M39" s="124" t="str">
        <x:v>1–2x leve; nada pesado perto da prova</x:v>
      </x:c>
      <x:c r="N39" s="89"/>
      <x:c r="O39" s="89"/>
      <x:c r="P39" s="84"/>
      <x:c r="Q39" s="84" t="str">
        <x:f>IF(N39="","Não preenchido",IF(P39&gt;=4,"REDUZIR",IF(N39&gt;=E39*0.9,"OK","Abaixo do plano")))</x:f>
        <x:v>Não preenchido</x:v>
      </x:c>
      <x:c r="R39" s="90"/>
    </x:row>
  </x:sheetData>
  <x:conditionalFormatting sqref="P2:P39">
    <x:cfRule type="cellIs" dxfId="0" priority="1" operator="greaterThanOrEqual">
      <x:formula>4</x:formula>
    </x:cfRule>
  </x:conditionalFormatting>
  <x:conditionalFormatting sqref="Q2:Q39">
    <x:cfRule type="expression" dxfId="1" priority="2">
      <x:formula>Q2="OK"</x:formula>
    </x:cfRule>
    <x:cfRule type="expression" dxfId="2" priority="3">
      <x:formula>Q2="REDUZIR"</x:formula>
    </x:cfRule>
  </x:conditionalFormatting>
  <x:dataValidations count="1">
    <x:dataValidation type="list" sqref="P2:P39">
      <x:formula1>"0,1,2,3,4,5,6,7,8,9,10"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24" hidden="0" customWidth="1"/>
    <x:col min="11" max="11" width="34" hidden="0" customWidth="1"/>
    <x:col min="12" max="12" width="34" hidden="0" customWidth="1"/>
  </x:cols>
  <x:sheetData>
    <x:row r="1">
      <x:c r="A1" s="129" t="str">
        <x:v>Data</x:v>
      </x:c>
      <x:c r="B1" s="129" t="str">
        <x:v>Semana</x:v>
      </x:c>
      <x:c r="C1" s="129" t="str">
        <x:v>Tipo</x:v>
      </x:c>
      <x:c r="D1" s="129" t="str">
        <x:v>Planejado (km)</x:v>
      </x:c>
      <x:c r="E1" s="129" t="str">
        <x:v>Realizado (km)</x:v>
      </x:c>
      <x:c r="F1" s="129" t="str">
        <x:v>Duração (min)</x:v>
      </x:c>
      <x:c r="G1" s="129" t="str">
        <x:v>RPE 1–10</x:v>
      </x:c>
      <x:c r="H1" s="129" t="str">
        <x:v>Dor 0–10</x:v>
      </x:c>
      <x:c r="I1" s="129" t="str">
        <x:v>Tênis</x:v>
      </x:c>
      <x:c r="J1" s="129" t="str">
        <x:v>Carbo/hidratação testados?</x:v>
      </x:c>
      <x:c r="K1" s="129" t="str">
        <x:v>Como me senti</x:v>
      </x:c>
      <x:c r="L1" s="129" t="str">
        <x:v>Observações</x:v>
      </x:c>
    </x:row>
    <x:row r="2">
      <x:c r="A2" s="132"/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</x:row>
    <x:row r="3">
      <x:c r="A3" s="132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25"/>
    </x:row>
    <x:row r="4">
      <x:c r="A4" s="132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</x:row>
    <x:row r="5">
      <x:c r="A5" s="132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</x:row>
    <x:row r="6">
      <x:c r="A6" s="132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</x:row>
    <x:row r="7">
      <x:c r="A7" s="132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 s="25"/>
    </x:row>
    <x:row r="8">
      <x:c r="A8" s="132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</x:row>
    <x:row r="9">
      <x:c r="A9" s="132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</x:row>
    <x:row r="10">
      <x:c r="A10" s="132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</x:row>
    <x:row r="11">
      <x:c r="A11" s="132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</x:row>
    <x:row r="12">
      <x:c r="A12" s="132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</x:row>
    <x:row r="13">
      <x:c r="A13" s="132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</x:row>
    <x:row r="14">
      <x:c r="A14" s="132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</x:row>
    <x:row r="15">
      <x:c r="A15" s="132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</x:row>
    <x:row r="16">
      <x:c r="A16" s="132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</x:row>
    <x:row r="17">
      <x:c r="A17" s="132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</x:row>
    <x:row r="18">
      <x:c r="A18" s="132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</x:row>
    <x:row r="19">
      <x:c r="A19" s="132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</x:row>
    <x:row r="20">
      <x:c r="A20" s="132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</x:row>
    <x:row r="21">
      <x:c r="A21" s="132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</x:row>
    <x:row r="22">
      <x:c r="A22" s="132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</x:row>
    <x:row r="23">
      <x:c r="A23" s="132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</x:row>
    <x:row r="24">
      <x:c r="A24" s="132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</x:row>
    <x:row r="25">
      <x:c r="A25" s="132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</x:row>
    <x:row r="26">
      <x:c r="A26" s="132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</x:row>
    <x:row r="27">
      <x:c r="A27" s="132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</x:row>
    <x:row r="28">
      <x:c r="A28" s="132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</x:row>
    <x:row r="29">
      <x:c r="A29" s="132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</x:row>
    <x:row r="30">
      <x:c r="A30" s="132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</x:row>
    <x:row r="31">
      <x:c r="A31" s="132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</x:row>
    <x:row r="32">
      <x:c r="A32" s="132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</x:row>
    <x:row r="33">
      <x:c r="A33" s="132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</x:row>
    <x:row r="34">
      <x:c r="A34" s="132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</x:row>
    <x:row r="35">
      <x:c r="A35" s="132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</x:row>
    <x:row r="36">
      <x:c r="A36" s="132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</x:row>
    <x:row r="37">
      <x:c r="A37" s="132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</x:row>
    <x:row r="38">
      <x:c r="A38" s="132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</x:row>
    <x:row r="39">
      <x:c r="A39" s="132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</x:row>
    <x:row r="40">
      <x:c r="A40" s="132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</x:row>
    <x:row r="41">
      <x:c r="A41" s="132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</x:row>
    <x:row r="42">
      <x:c r="A42" s="132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</x:row>
    <x:row r="43">
      <x:c r="A43" s="132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</x:row>
    <x:row r="44">
      <x:c r="A44" s="132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</x:row>
    <x:row r="45">
      <x:c r="A45" s="132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</x:row>
    <x:row r="46">
      <x:c r="A46" s="132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</x:row>
    <x:row r="47">
      <x:c r="A47" s="132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</x:row>
    <x:row r="48">
      <x:c r="A48" s="132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</x:row>
    <x:row r="49">
      <x:c r="A49" s="132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</x:row>
    <x:row r="50">
      <x:c r="A50" s="132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</x:row>
    <x:row r="51">
      <x:c r="A51" s="132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</x:row>
    <x:row r="52">
      <x:c r="A52" s="132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</x:row>
    <x:row r="53">
      <x:c r="A53" s="132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</x:row>
    <x:row r="54">
      <x:c r="A54" s="132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</x:row>
    <x:row r="55">
      <x:c r="A55" s="132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</x:row>
    <x:row r="56">
      <x:c r="A56" s="132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</x:row>
    <x:row r="57">
      <x:c r="A57" s="132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</x:row>
    <x:row r="58">
      <x:c r="A58" s="132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</x:row>
    <x:row r="59">
      <x:c r="A59" s="132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</x:row>
    <x:row r="60">
      <x:c r="A60" s="132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</x:row>
    <x:row r="61">
      <x:c r="A61" s="132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</x:row>
    <x:row r="62">
      <x:c r="A62" s="132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</x:row>
    <x:row r="63">
      <x:c r="A63" s="132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</x:row>
    <x:row r="64">
      <x:c r="A64" s="132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</x:row>
    <x:row r="65">
      <x:c r="A65" s="132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</x:row>
    <x:row r="66">
      <x:c r="A66" s="132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</x:row>
    <x:row r="67">
      <x:c r="A67" s="132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</x:row>
    <x:row r="68">
      <x:c r="A68" s="132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</x:row>
    <x:row r="69">
      <x:c r="A69" s="132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</x:row>
    <x:row r="70">
      <x:c r="A70" s="132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</x:row>
    <x:row r="71">
      <x:c r="A71" s="132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</x:row>
    <x:row r="72">
      <x:c r="A72" s="132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</x:row>
    <x:row r="73">
      <x:c r="A73" s="132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</x:row>
    <x:row r="74">
      <x:c r="A74" s="132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</x:row>
    <x:row r="75">
      <x:c r="A75" s="132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</x:row>
    <x:row r="76">
      <x:c r="A76" s="132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</x:row>
    <x:row r="77">
      <x:c r="A77" s="132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</x:row>
    <x:row r="78">
      <x:c r="A78" s="132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</x:row>
    <x:row r="79">
      <x:c r="A79" s="132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</x:row>
    <x:row r="80">
      <x:c r="A80" s="132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</x:row>
    <x:row r="81">
      <x:c r="A81" s="132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</x:row>
    <x:row r="82">
      <x:c r="A82" s="132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</x:row>
    <x:row r="83">
      <x:c r="A83" s="132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</x:row>
    <x:row r="84">
      <x:c r="A84" s="132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</x:row>
    <x:row r="85">
      <x:c r="A85" s="132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</x:row>
    <x:row r="86">
      <x:c r="A86" s="132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</x:row>
    <x:row r="87">
      <x:c r="A87" s="132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</x:row>
    <x:row r="88">
      <x:c r="A88" s="132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</x:row>
    <x:row r="89">
      <x:c r="A89" s="132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</x:row>
    <x:row r="90">
      <x:c r="A90" s="132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</x:row>
    <x:row r="91">
      <x:c r="A91" s="132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</x:row>
    <x:row r="92">
      <x:c r="A92" s="132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</x:row>
    <x:row r="93">
      <x:c r="A93" s="132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</x:row>
    <x:row r="94">
      <x:c r="A94" s="132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</x:row>
    <x:row r="95">
      <x:c r="A95" s="132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</x:row>
    <x:row r="96">
      <x:c r="A96" s="132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</x:row>
    <x:row r="97">
      <x:c r="A97" s="132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</x:row>
    <x:row r="98">
      <x:c r="A98" s="132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</x:row>
    <x:row r="99">
      <x:c r="A99" s="132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</x:row>
    <x:row r="100">
      <x:c r="A100" s="132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</x:row>
    <x:row r="101">
      <x:c r="A101" s="132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</x:row>
  </x:sheetData>
  <x:conditionalFormatting sqref="H2:H101">
    <x:cfRule type="cellIs" dxfId="3" priority="1" operator="greaterThanOrEqual">
      <x:formula>4</x:formula>
    </x:cfRule>
  </x:conditionalFormatting>
  <x:dataValidations count="3">
    <x:dataValidation type="list" sqref="C2:C101">
      <x:formula1>"Fácil,Moderado,Regenerativo,Longão,Corrida/Caminhada,Prova"</x:formula1>
    </x:dataValidation>
    <x:dataValidation type="list" sqref="G2:H101">
      <x:formula1>"0,1,2,3,4,5,6,7,8,9,10"</x:formula1>
    </x:dataValidation>
    <x:dataValidation type="list" sqref="J2:J101">
      <x:formula1>"Sim,Não,Não se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36" t="str">
        <x:v>REGRAS DO PROJETO 42K</x:v>
      </x:c>
      <x:c r="B1" s="136"/>
      <x:c r="C1" s="136"/>
      <x:c r="D1" s="136"/>
      <x:c r="E1" s="136"/>
      <x:c r="F1" s="136"/>
    </x:row>
    <x:row r="2">
      <x:c r="A2" s="136"/>
      <x:c r="B2" s="136"/>
      <x:c r="C2" s="136"/>
      <x:c r="D2" s="136"/>
      <x:c r="E2" s="136"/>
      <x:c r="F2" s="136"/>
    </x:row>
    <x:row r="4">
      <x:c r="A4" s="140" t="str">
        <x:v>Tema</x:v>
      </x:c>
      <x:c r="B4" s="140" t="str">
        <x:v>Regra prática</x:v>
      </x:c>
      <x:c r="C4" s="140" t="str"/>
      <x:c r="D4" s="140" t="str"/>
      <x:c r="E4" s="140" t="str"/>
      <x:c r="F4" s="140" t="str"/>
    </x:row>
    <x:row r="5">
      <x:c r="A5" s="24" t="str">
        <x:v>Ritmo fácil</x:v>
      </x:c>
      <x:c r="B5" s="25" t="str">
        <x:v>RPE 2–3; deve dar para conversar em frases completas.</x:v>
      </x:c>
      <x:c r="C5" s="25" t="str"/>
      <x:c r="D5" s="25" t="str"/>
      <x:c r="E5" s="25" t="str"/>
      <x:c r="F5" s="25" t="str"/>
    </x:row>
    <x:row r="6">
      <x:c r="A6" s="24" t="str">
        <x:v>Corrida/caminhada</x:v>
      </x:c>
      <x:c r="B6" s="25" t="str">
        <x:v>Pode ser usada em qualquer fase. Caminhar cedo é melhor do que quebrar tarde.</x:v>
      </x:c>
      <x:c r="C6" s="25" t="str"/>
      <x:c r="D6" s="25" t="str"/>
      <x:c r="E6" s="25" t="str"/>
      <x:c r="F6" s="25" t="str"/>
    </x:row>
    <x:row r="7">
      <x:c r="A7" s="24" t="str">
        <x:v>Progressão</x:v>
      </x:c>
      <x:c r="B7" s="25" t="str">
        <x:v>Evite aumentar volume e intensidade agressivamente na mesma semana.</x:v>
      </x:c>
      <x:c r="C7" s="25" t="str"/>
      <x:c r="D7" s="25" t="str"/>
      <x:c r="E7" s="25" t="str"/>
      <x:c r="F7" s="25" t="str"/>
    </x:row>
    <x:row r="8">
      <x:c r="A8" s="24" t="str">
        <x:v>Semanas leves</x:v>
      </x:c>
      <x:c r="B8" s="25" t="str">
        <x:v>São parte do plano. Não 'pague' os km que deixou de fazer.</x:v>
      </x:c>
      <x:c r="C8" s="25" t="str"/>
      <x:c r="D8" s="25" t="str"/>
      <x:c r="E8" s="25" t="str"/>
      <x:c r="F8" s="25" t="str"/>
    </x:row>
    <x:row r="9">
      <x:c r="A9" s="24" t="str">
        <x:v>Longão</x:v>
      </x:c>
      <x:c r="B9" s="25" t="str">
        <x:v>É treino de tempo em pé, não teste de velocidade.</x:v>
      </x:c>
      <x:c r="C9" s="25" t="str"/>
      <x:c r="D9" s="25" t="str"/>
      <x:c r="E9" s="25" t="str"/>
      <x:c r="F9" s="25" t="str"/>
    </x:row>
    <x:row r="10">
      <x:c r="A10" s="24" t="str">
        <x:v>Carboidrato</x:v>
      </x:c>
      <x:c r="B10" s="25" t="str">
        <x:v>A partir de ~75–90 min, pratique ingestão durante o treino; teste tudo antes da prova.</x:v>
      </x:c>
      <x:c r="C10" s="25" t="str"/>
      <x:c r="D10" s="25" t="str"/>
      <x:c r="E10" s="25" t="str"/>
      <x:c r="F10" s="25" t="str"/>
    </x:row>
    <x:row r="11">
      <x:c r="A11" s="24" t="str">
        <x:v>Hidratação</x:v>
      </x:c>
      <x:c r="B11" s="25" t="str">
        <x:v>Treine a estratégia em longões; ajuste por clima e suor.</x:v>
      </x:c>
      <x:c r="C11" s="25" t="str"/>
      <x:c r="D11" s="25" t="str"/>
      <x:c r="E11" s="25" t="str"/>
      <x:c r="F11" s="25" t="str"/>
    </x:row>
    <x:row r="12">
      <x:c r="A12" s="24" t="str">
        <x:v>Musculação</x:v>
      </x:c>
      <x:c r="B12" s="25" t="str">
        <x:v>Mantenha, mas reduza o volume de pernas à medida que o longão cresce.</x:v>
      </x:c>
      <x:c r="C12" s="25" t="str"/>
      <x:c r="D12" s="25" t="str"/>
      <x:c r="E12" s="25" t="str"/>
      <x:c r="F12" s="25" t="str"/>
    </x:row>
    <x:row r="13">
      <x:c r="A13" s="24" t="str">
        <x:v>Perna pesada</x:v>
      </x:c>
      <x:c r="B13" s="25" t="str">
        <x:v>Evite treino pesado de pernas nas 24–48 h antes do longão.</x:v>
      </x:c>
      <x:c r="C13" s="25" t="str"/>
      <x:c r="D13" s="25" t="str"/>
      <x:c r="E13" s="25" t="str"/>
      <x:c r="F13" s="25" t="str"/>
    </x:row>
    <x:row r="14">
      <x:c r="A14" s="24" t="str">
        <x:v>Dor</x:v>
      </x:c>
      <x:c r="B14" s="25" t="str">
        <x:v>Dor que muda a passada, aumenta durante a corrida ou persiste: reduza/pare e avalie.</x:v>
      </x:c>
      <x:c r="C14" s="25" t="str"/>
      <x:c r="D14" s="25" t="str"/>
      <x:c r="E14" s="25" t="str"/>
      <x:c r="F14" s="25" t="str"/>
    </x:row>
    <x:row r="15">
      <x:c r="A15" s="24" t="str">
        <x:v>Fadiga</x:v>
      </x:c>
      <x:c r="B15" s="25" t="str">
        <x:v>Queda de desempenho por vários treinos, sono ruim e pernas sempre pesadas = reduza carga.</x:v>
      </x:c>
      <x:c r="C15" s="25" t="str"/>
      <x:c r="D15" s="25" t="str"/>
      <x:c r="E15" s="25" t="str"/>
      <x:c r="F15" s="25" t="str"/>
    </x:row>
    <x:row r="16">
      <x:c r="A16" s="24" t="str">
        <x:v>Bulk</x:v>
      </x:c>
      <x:c r="B16" s="25" t="str">
        <x:v>Não tente 'comer de volta' cada caloria do relógio; acompanhe a tendência semanal do peso.</x:v>
      </x:c>
      <x:c r="C16" s="25" t="str"/>
      <x:c r="D16" s="25" t="str"/>
      <x:c r="E16" s="25" t="str"/>
      <x:c r="F16" s="25" t="str"/>
    </x:row>
    <x:row r="17">
      <x:c r="A17" s="24" t="str">
        <x:v>Checkpoint</x:v>
      </x:c>
      <x:c r="B17" s="25" t="str">
        <x:v>Se 5K/10K/21K não estiverem confortáveis nas semanas-alvo, repita base.</x:v>
      </x:c>
      <x:c r="C17" s="25" t="str"/>
      <x:c r="D17" s="25" t="str"/>
      <x:c r="E17" s="25" t="str"/>
      <x:c r="F17" s="25" t="str"/>
    </x:row>
    <x:row r="18">
      <x:c r="A18" s="24" t="str">
        <x:v>Objetivo real</x:v>
      </x:c>
      <x:c r="B18" s="25" t="str">
        <x:v>Chegar saudável à linha de largada vale mais do que cumprir 100% da planilha.</x:v>
      </x:c>
      <x:c r="C18" s="25" t="str"/>
      <x:c r="D18" s="25" t="str"/>
      <x:c r="E18" s="25" t="str"/>
      <x:c r="F18" s="25" t="str"/>
    </x:row>
    <x:row r="20">
      <x:c r="A20" s="145" t="str">
        <x:v>IMPORTANTE: plano orientativo para progressão. Sair do início da corrida para uma maratona em ~9 meses é uma meta ambiciosa. Se aparecer dor persistente, limitação de movimento, sintomas cardiovasculares incomuns ou qualquer problema médico, interrompa a progressão e procure avaliação profissional.</x:v>
      </x:c>
      <x:c r="B20" s="145"/>
      <x:c r="C20" s="145"/>
      <x:c r="D20" s="145"/>
      <x:c r="E20" s="145"/>
      <x:c r="F20" s="145"/>
    </x:row>
    <x:row r="21">
      <x:c r="A21" s="145"/>
      <x:c r="B21" s="145"/>
      <x:c r="C21" s="145"/>
      <x:c r="D21" s="145"/>
      <x:c r="E21" s="145"/>
      <x:c r="F21" s="145"/>
    </x:row>
    <x:row r="22">
      <x:c r="A22" s="145"/>
      <x:c r="B22" s="145"/>
      <x:c r="C22" s="145"/>
      <x:c r="D22" s="145"/>
      <x:c r="E22" s="145"/>
      <x:c r="F22" s="145"/>
    </x:row>
    <x:row r="23">
      <x:c r="A23" s="145"/>
      <x:c r="B23" s="145"/>
      <x:c r="C23" s="145"/>
      <x:c r="D23" s="145"/>
      <x:c r="E23" s="145"/>
      <x:c r="F23" s="145"/>
    </x:row>
  </x:sheetData>
  <x:mergeCells>
    <x:mergeCell ref="A1:F2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  <x:mergeCell ref="B18:F18"/>
    <x:mergeCell ref="A20:F23"/>
  </x:mergeCells>
  <x:pageMargins left="0.7" right="0.7" top="0.75" bottom="0.75" header="0.3" footer="0.3"/>
</x:worksheet>
</file>